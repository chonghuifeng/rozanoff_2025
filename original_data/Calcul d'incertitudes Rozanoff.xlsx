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roym/Work/Articles/sympo2024/"/>
    </mc:Choice>
  </mc:AlternateContent>
  <xr:revisionPtr revIDLastSave="0" documentId="13_ncr:1_{5097C562-6A96-4E46-AF42-5B29AE6DD85C}" xr6:coauthVersionLast="47" xr6:coauthVersionMax="47" xr10:uidLastSave="{00000000-0000-0000-0000-000000000000}"/>
  <bookViews>
    <workbookView xWindow="11140" yWindow="3300" windowWidth="28040" windowHeight="17440" xr2:uid="{2D6F730E-7616-8441-A7D9-F6628F02589E}"/>
  </bookViews>
  <sheets>
    <sheet name="Feuil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3" i="3"/>
  <c r="B14" i="3"/>
  <c r="B20" i="3"/>
  <c r="B12" i="3"/>
  <c r="B21" i="3"/>
  <c r="B19" i="3"/>
  <c r="B17" i="3"/>
  <c r="B8" i="3"/>
  <c r="B11" i="3" s="1"/>
  <c r="B7" i="3"/>
  <c r="B6" i="3"/>
  <c r="B10" i="3" s="1"/>
  <c r="B5" i="3"/>
  <c r="B9" i="3" l="1"/>
  <c r="B16" i="3"/>
  <c r="B18" i="3" l="1"/>
  <c r="B22" i="3" s="1"/>
</calcChain>
</file>

<file path=xl/sharedStrings.xml><?xml version="1.0" encoding="utf-8"?>
<sst xmlns="http://schemas.openxmlformats.org/spreadsheetml/2006/main" count="31" uniqueCount="31">
  <si>
    <t>Phitot</t>
  </si>
  <si>
    <t>FSMair1</t>
  </si>
  <si>
    <t>FSMairax</t>
  </si>
  <si>
    <t>FSMairaz</t>
  </si>
  <si>
    <t>FSMH2</t>
  </si>
  <si>
    <t>m1</t>
  </si>
  <si>
    <t>m2</t>
  </si>
  <si>
    <t>mH2</t>
  </si>
  <si>
    <t>NOxMean</t>
  </si>
  <si>
    <t>mAir1</t>
  </si>
  <si>
    <t>duMH2</t>
  </si>
  <si>
    <t>duMAir1=</t>
  </si>
  <si>
    <t>duMAIr2</t>
  </si>
  <si>
    <t>duNOx</t>
  </si>
  <si>
    <t>dPhidmH2</t>
  </si>
  <si>
    <t>s</t>
  </si>
  <si>
    <t>dPhidMair</t>
  </si>
  <si>
    <t>dPhitot</t>
  </si>
  <si>
    <t>dEINOXDPhi</t>
  </si>
  <si>
    <t>EINOx</t>
  </si>
  <si>
    <t>DEINOX</t>
  </si>
  <si>
    <t>DEINOXDXnox</t>
  </si>
  <si>
    <t>Input</t>
  </si>
  <si>
    <t>Full Scale Débitmètres</t>
  </si>
  <si>
    <t>Incertitude Débitmètres</t>
  </si>
  <si>
    <t xml:space="preserve">Incertitude Mesure NOx
</t>
  </si>
  <si>
    <t>Incertitude Partielle PhiTot</t>
  </si>
  <si>
    <t>Incertitude Partielle EINOx</t>
  </si>
  <si>
    <t>Inceritude Finale</t>
  </si>
  <si>
    <t>Coeff stoechio H2</t>
  </si>
  <si>
    <t>Grandeurs recalculées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</si>
</sst>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E615-4087-8E42-94E0-A99E7BABA3BB}">
  <dimension ref="A1:AZ22"/>
  <sheetViews>
    <sheetView tabSelected="1" workbookViewId="0">
      <selection activeCell="E14" sqref="E14"/>
    </sheetView>
  </sheetViews>
  <sheetFormatPr baseColWidth="10" defaultRowHeight="16" x14ac:dyDescent="0.2"/>
  <cols>
    <col min="2" max="2" width="12.1640625" bestFit="1" customWidth="1"/>
    <col min="3" max="3" width="19.5" bestFit="1" customWidth="1"/>
  </cols>
  <sheetData>
    <row r="1" spans="1:52" x14ac:dyDescent="0.2">
      <c r="A1" s="2" t="s">
        <v>8</v>
      </c>
      <c r="B1" s="2">
        <v>36</v>
      </c>
      <c r="C1" s="6" t="s">
        <v>22</v>
      </c>
    </row>
    <row r="2" spans="1:52" x14ac:dyDescent="0.2">
      <c r="A2" s="2" t="s">
        <v>5</v>
      </c>
      <c r="B2" s="5">
        <v>7.4758699999999997E-4</v>
      </c>
      <c r="C2" s="6"/>
    </row>
    <row r="3" spans="1:52" x14ac:dyDescent="0.2">
      <c r="A3" s="2" t="s">
        <v>6</v>
      </c>
      <c r="B3" s="5">
        <v>2.8388140439987199E-3</v>
      </c>
      <c r="C3" s="6"/>
    </row>
    <row r="4" spans="1:52" x14ac:dyDescent="0.2">
      <c r="A4" s="2" t="s">
        <v>7</v>
      </c>
      <c r="B4" s="5">
        <v>4.1768966009159902E-5</v>
      </c>
      <c r="C4" s="6"/>
    </row>
    <row r="5" spans="1:52" x14ac:dyDescent="0.2">
      <c r="A5" t="s">
        <v>1</v>
      </c>
      <c r="B5" s="1">
        <f>200/1000/60*1.293</f>
        <v>4.3100000000000005E-3</v>
      </c>
      <c r="C5" s="6" t="s">
        <v>23</v>
      </c>
    </row>
    <row r="6" spans="1:52" x14ac:dyDescent="0.2">
      <c r="A6" t="s">
        <v>2</v>
      </c>
      <c r="B6" s="1">
        <f>400/1000/60*1.293</f>
        <v>8.6200000000000009E-3</v>
      </c>
      <c r="C6" s="6"/>
    </row>
    <row r="7" spans="1:52" x14ac:dyDescent="0.2">
      <c r="A7" t="s">
        <v>3</v>
      </c>
      <c r="B7" s="1">
        <f>400/1000/60*1.293</f>
        <v>8.6200000000000009E-3</v>
      </c>
      <c r="C7" s="6"/>
      <c r="I7" s="4"/>
      <c r="J7" s="4"/>
      <c r="K7" s="4"/>
      <c r="AQ7" s="1"/>
      <c r="AR7" s="1"/>
      <c r="AW7" s="1"/>
      <c r="AY7" s="1"/>
      <c r="AZ7" s="1"/>
    </row>
    <row r="8" spans="1:52" x14ac:dyDescent="0.2">
      <c r="A8" t="s">
        <v>4</v>
      </c>
      <c r="B8" s="1">
        <f>8/60^2*0.0899</f>
        <v>1.9977777777777775E-4</v>
      </c>
      <c r="C8" s="6"/>
    </row>
    <row r="9" spans="1:52" x14ac:dyDescent="0.2">
      <c r="A9" t="s">
        <v>11</v>
      </c>
      <c r="B9">
        <f>0.5%*B14+0.1%*B5</f>
        <v>7.8390901699541998E-6</v>
      </c>
      <c r="C9" s="7" t="s">
        <v>24</v>
      </c>
    </row>
    <row r="10" spans="1:52" x14ac:dyDescent="0.2">
      <c r="A10" t="s">
        <v>12</v>
      </c>
      <c r="B10">
        <f>0.4%*B3/2+0.5%*B6</f>
        <v>4.8777628087997442E-5</v>
      </c>
      <c r="C10" s="7"/>
    </row>
    <row r="11" spans="1:52" x14ac:dyDescent="0.2">
      <c r="A11" t="s">
        <v>10</v>
      </c>
      <c r="B11">
        <f>0.4%*B4+0.5%*B8</f>
        <v>1.1659647529255285E-6</v>
      </c>
      <c r="C11" s="7"/>
    </row>
    <row r="12" spans="1:52" ht="51" x14ac:dyDescent="0.2">
      <c r="A12" t="s">
        <v>13</v>
      </c>
      <c r="B12">
        <f>2.5/SQRT(3)*2</f>
        <v>2.8867513459481291</v>
      </c>
      <c r="C12" s="3" t="s">
        <v>25</v>
      </c>
    </row>
    <row r="13" spans="1:52" x14ac:dyDescent="0.2">
      <c r="A13" t="s">
        <v>15</v>
      </c>
      <c r="B13">
        <f>7.96/0.233</f>
        <v>34.163090128755364</v>
      </c>
      <c r="C13" t="s">
        <v>29</v>
      </c>
    </row>
    <row r="14" spans="1:52" x14ac:dyDescent="0.2">
      <c r="A14" t="s">
        <v>9</v>
      </c>
      <c r="B14">
        <f>B2-B4</f>
        <v>7.0581803399084007E-4</v>
      </c>
      <c r="C14" s="6" t="s">
        <v>30</v>
      </c>
    </row>
    <row r="15" spans="1:52" x14ac:dyDescent="0.2">
      <c r="A15" t="s">
        <v>0</v>
      </c>
      <c r="B15">
        <f>B13*B4/((B3+B14))</f>
        <v>0.40256842429897227</v>
      </c>
      <c r="C15" s="6"/>
    </row>
    <row r="16" spans="1:52" x14ac:dyDescent="0.2">
      <c r="A16" t="s">
        <v>14</v>
      </c>
      <c r="B16">
        <f>1/(B14+B3)*34.33</f>
        <v>9685.0672353761602</v>
      </c>
      <c r="C16" s="7" t="s">
        <v>26</v>
      </c>
    </row>
    <row r="17" spans="1:3" x14ac:dyDescent="0.2">
      <c r="A17" t="s">
        <v>16</v>
      </c>
      <c r="B17">
        <f>-34.33*B4/(B14+B3)^2</f>
        <v>-114.12615900612707</v>
      </c>
      <c r="C17" s="7"/>
    </row>
    <row r="18" spans="1:3" x14ac:dyDescent="0.2">
      <c r="A18" t="s">
        <v>17</v>
      </c>
      <c r="B18">
        <f>SQRT(B16^2*B11^2+B17^2*B9^2+B17^2*B10^2+B17^2*B10^2)</f>
        <v>1.3794866755314779E-2</v>
      </c>
      <c r="C18" s="7"/>
    </row>
    <row r="19" spans="1:3" x14ac:dyDescent="0.2">
      <c r="A19" t="s">
        <v>18</v>
      </c>
      <c r="B19">
        <f>B1*0.046*(B15^2*(4*4.76+137.28-4*34.33)+34.33*4.76*(8*B15+137.28))/(B15^2*(4*B15+137.28)^2)</f>
        <v>12.163379667458656</v>
      </c>
      <c r="C19" s="7" t="s">
        <v>27</v>
      </c>
    </row>
    <row r="20" spans="1:3" x14ac:dyDescent="0.2">
      <c r="A20" t="s">
        <v>21</v>
      </c>
      <c r="B20">
        <f>(4.76-B15)*0.046/(4*B15+137.28)*(1+34.33/B15)</f>
        <v>0.12451273315172377</v>
      </c>
      <c r="C20" s="7"/>
    </row>
    <row r="21" spans="1:3" x14ac:dyDescent="0.2">
      <c r="A21" t="s">
        <v>19</v>
      </c>
      <c r="B21">
        <f>B1*(4.76-B15)*0.046/(4*B15+137.28)*(1+34.33/B15)</f>
        <v>4.4824583934620561</v>
      </c>
      <c r="C21" s="7"/>
    </row>
    <row r="22" spans="1:3" x14ac:dyDescent="0.2">
      <c r="A22" t="s">
        <v>20</v>
      </c>
      <c r="B22">
        <f>SQRT(B19^2*B18^2+B20^2*B12^2)</f>
        <v>0.39667290760542617</v>
      </c>
      <c r="C22" t="s">
        <v>28</v>
      </c>
    </row>
  </sheetData>
  <mergeCells count="6">
    <mergeCell ref="C1:C4"/>
    <mergeCell ref="C5:C8"/>
    <mergeCell ref="C9:C11"/>
    <mergeCell ref="C16:C18"/>
    <mergeCell ref="C19:C21"/>
    <mergeCell ref="C14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F84B4A8DEDF4B8F4089205AFB0650" ma:contentTypeVersion="11" ma:contentTypeDescription="Crée un document." ma:contentTypeScope="" ma:versionID="394f5d84d555387f50091d1fb546efbe">
  <xsd:schema xmlns:xsd="http://www.w3.org/2001/XMLSchema" xmlns:xs="http://www.w3.org/2001/XMLSchema" xmlns:p="http://schemas.microsoft.com/office/2006/metadata/properties" xmlns:ns2="3a509e1c-4fa9-4191-93ca-7ec9c9bd7c82" xmlns:ns3="ca11bfcb-c413-4381-9c6b-4ee4d46753d9" targetNamespace="http://schemas.microsoft.com/office/2006/metadata/properties" ma:root="true" ma:fieldsID="5ce97ffc8afb3ea205d5e43b59d54d84" ns2:_="" ns3:_="">
    <xsd:import namespace="3a509e1c-4fa9-4191-93ca-7ec9c9bd7c82"/>
    <xsd:import namespace="ca11bfcb-c413-4381-9c6b-4ee4d4675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09e1c-4fa9-4191-93ca-7ec9c9bd7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74adcb9-9639-454f-bd53-a051c6bc3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1bfcb-c413-4381-9c6b-4ee4d46753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e6c217-4a72-44f5-9bcb-ae42ebeb28d5}" ma:internalName="TaxCatchAll" ma:showField="CatchAllData" ma:web="ca11bfcb-c413-4381-9c6b-4ee4d4675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11bfcb-c413-4381-9c6b-4ee4d46753d9" xsi:nil="true"/>
    <lcf76f155ced4ddcb4097134ff3c332f xmlns="3a509e1c-4fa9-4191-93ca-7ec9c9bd7c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B3FDA5-0ED8-4ACC-92CF-A414AEE700CB}"/>
</file>

<file path=customXml/itemProps2.xml><?xml version="1.0" encoding="utf-8"?>
<ds:datastoreItem xmlns:ds="http://schemas.openxmlformats.org/officeDocument/2006/customXml" ds:itemID="{CAA2E3E8-1E9A-45DD-B7AE-C1941C8A27C5}"/>
</file>

<file path=customXml/itemProps3.xml><?xml version="1.0" encoding="utf-8"?>
<ds:datastoreItem xmlns:ds="http://schemas.openxmlformats.org/officeDocument/2006/customXml" ds:itemID="{06FA05C1-3038-4A52-AA72-EB1AA0107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Leroy</dc:creator>
  <cp:lastModifiedBy>Maxime Leroy</cp:lastModifiedBy>
  <dcterms:created xsi:type="dcterms:W3CDTF">2024-01-25T14:14:55Z</dcterms:created>
  <dcterms:modified xsi:type="dcterms:W3CDTF">2025-03-03T12:24:04Z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0x010100420F84B4A8DEDF4B8F4089205AFB0650</vt:lpwstr>
  </property>
</Properties>
</file>