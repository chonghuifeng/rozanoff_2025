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engchonghui\Documents\chong hui\centralesupelec\Rozanoff\rozanoff_2025\original_data\"/>
    </mc:Choice>
  </mc:AlternateContent>
  <xr:revisionPtr revIDLastSave="0" documentId="13_ncr:1_{5196429B-D39D-4E14-BE41-4A60F85B2780}" xr6:coauthVersionLast="47" xr6:coauthVersionMax="47" xr10:uidLastSave="{00000000-0000-0000-0000-000000000000}"/>
  <bookViews>
    <workbookView xWindow="14303" yWindow="-2100" windowWidth="23235" windowHeight="13875" xr2:uid="{2EC328DA-5A74-9942-ABF6-8F45DC70ED69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" l="1"/>
  <c r="U14" i="1"/>
  <c r="AD9" i="1"/>
  <c r="AE9" i="1" l="1"/>
  <c r="AD10" i="1"/>
  <c r="AE10" i="1" s="1"/>
  <c r="AD11" i="1"/>
  <c r="AE11" i="1" s="1"/>
  <c r="AD12" i="1"/>
  <c r="AE12" i="1" s="1"/>
  <c r="AD13" i="1"/>
  <c r="AE13" i="1" s="1"/>
  <c r="AD14" i="1"/>
  <c r="AE14" i="1" s="1"/>
  <c r="AD21" i="1"/>
  <c r="AE21" i="1" s="1"/>
  <c r="AD22" i="1"/>
  <c r="AE22" i="1" s="1"/>
  <c r="AD23" i="1"/>
  <c r="AE23" i="1" s="1"/>
  <c r="AD24" i="1"/>
  <c r="AE24" i="1" s="1"/>
  <c r="AD25" i="1"/>
  <c r="AE25" i="1" s="1"/>
  <c r="AD26" i="1"/>
  <c r="AE26" i="1" s="1"/>
  <c r="AD27" i="1"/>
  <c r="AE27" i="1" s="1"/>
  <c r="AD28" i="1"/>
  <c r="AE28" i="1" s="1"/>
  <c r="AD33" i="1"/>
  <c r="AE33" i="1" s="1"/>
  <c r="AD34" i="1"/>
  <c r="AE34" i="1" s="1"/>
  <c r="AD35" i="1"/>
  <c r="AE35" i="1" s="1"/>
  <c r="AD36" i="1"/>
  <c r="AE36" i="1" s="1"/>
  <c r="AD37" i="1"/>
  <c r="AE37" i="1" s="1"/>
  <c r="AD38" i="1"/>
  <c r="AE38" i="1" s="1"/>
  <c r="AD92" i="1"/>
  <c r="AE92" i="1" s="1"/>
  <c r="AD93" i="1"/>
  <c r="AE93" i="1" s="1"/>
  <c r="AD94" i="1"/>
  <c r="AE94" i="1" s="1"/>
  <c r="AD95" i="1"/>
  <c r="AE95" i="1" s="1"/>
  <c r="AD96" i="1"/>
  <c r="AE96" i="1" s="1"/>
  <c r="AD97" i="1"/>
  <c r="AE97" i="1" s="1"/>
  <c r="AD98" i="1"/>
  <c r="AE98" i="1" s="1"/>
  <c r="AD99" i="1"/>
  <c r="AE99" i="1" s="1"/>
  <c r="AD100" i="1"/>
  <c r="AE100" i="1" s="1"/>
  <c r="AD101" i="1"/>
  <c r="AE101" i="1" s="1"/>
  <c r="AD102" i="1"/>
  <c r="AE102" i="1" s="1"/>
  <c r="AD103" i="1"/>
  <c r="AE103" i="1" s="1"/>
  <c r="AD104" i="1"/>
  <c r="AE104" i="1" s="1"/>
  <c r="AD105" i="1"/>
  <c r="AE105" i="1" s="1"/>
  <c r="AD106" i="1"/>
  <c r="AE106" i="1" s="1"/>
  <c r="AD107" i="1"/>
  <c r="AE107" i="1" s="1"/>
  <c r="AD108" i="1"/>
  <c r="AE108" i="1" s="1"/>
  <c r="AD109" i="1"/>
  <c r="AE109" i="1" s="1"/>
  <c r="AD110" i="1"/>
  <c r="AE110" i="1" s="1"/>
  <c r="AD111" i="1"/>
  <c r="AE111" i="1" s="1"/>
  <c r="AD112" i="1"/>
  <c r="AE112" i="1" s="1"/>
  <c r="AD113" i="1"/>
  <c r="AE113" i="1" s="1"/>
  <c r="AD114" i="1"/>
  <c r="AE114" i="1" s="1"/>
  <c r="AD115" i="1"/>
  <c r="AE115" i="1" s="1"/>
  <c r="AD116" i="1"/>
  <c r="AE116" i="1" s="1"/>
  <c r="AD117" i="1"/>
  <c r="AE117" i="1" s="1"/>
  <c r="AD118" i="1"/>
  <c r="AE118" i="1" s="1"/>
  <c r="AD119" i="1"/>
  <c r="AE119" i="1" s="1"/>
  <c r="AD120" i="1"/>
  <c r="AE120" i="1" s="1"/>
  <c r="AD121" i="1"/>
  <c r="AE121" i="1" s="1"/>
  <c r="AD122" i="1"/>
  <c r="AE122" i="1" s="1"/>
  <c r="AD123" i="1"/>
  <c r="AE123" i="1" s="1"/>
  <c r="AD124" i="1"/>
  <c r="AE124" i="1" s="1"/>
  <c r="AD125" i="1"/>
  <c r="AE125" i="1" s="1"/>
  <c r="AD126" i="1"/>
  <c r="AE126" i="1" s="1"/>
  <c r="AD127" i="1"/>
  <c r="AE127" i="1" s="1"/>
  <c r="AD128" i="1"/>
  <c r="AE128" i="1" s="1"/>
  <c r="AD129" i="1"/>
  <c r="AE129" i="1" s="1"/>
  <c r="AD130" i="1"/>
  <c r="AE130" i="1" s="1"/>
  <c r="AD131" i="1"/>
  <c r="AE131" i="1" s="1"/>
  <c r="AD132" i="1"/>
  <c r="AE132" i="1" s="1"/>
  <c r="AD133" i="1"/>
  <c r="AE133" i="1" s="1"/>
  <c r="AD134" i="1"/>
  <c r="AE134" i="1" s="1"/>
  <c r="AD135" i="1"/>
  <c r="AE135" i="1" s="1"/>
  <c r="AD136" i="1"/>
  <c r="AE136" i="1" s="1"/>
  <c r="AD4" i="1"/>
  <c r="AE4" i="1" s="1"/>
  <c r="AD5" i="1"/>
  <c r="AE5" i="1" s="1"/>
  <c r="AD7" i="1"/>
  <c r="AE7" i="1" s="1"/>
  <c r="AD16" i="1"/>
  <c r="AE16" i="1" s="1"/>
  <c r="AD17" i="1"/>
  <c r="AE17" i="1" s="1"/>
  <c r="AD18" i="1"/>
  <c r="AE18" i="1" s="1"/>
  <c r="AD20" i="1"/>
  <c r="AE20" i="1" s="1"/>
  <c r="AD30" i="1"/>
  <c r="AE30" i="1" s="1"/>
  <c r="AD32" i="1"/>
  <c r="AE32" i="1" s="1"/>
  <c r="AD42" i="1"/>
  <c r="AE42" i="1" s="1"/>
  <c r="AD43" i="1"/>
  <c r="AE43" i="1" s="1"/>
  <c r="AD44" i="1"/>
  <c r="AE44" i="1" s="1"/>
  <c r="AD45" i="1"/>
  <c r="AE45" i="1" s="1"/>
  <c r="AD46" i="1"/>
  <c r="AE46" i="1" s="1"/>
  <c r="AD47" i="1"/>
  <c r="AE47" i="1" s="1"/>
  <c r="AD51" i="1"/>
  <c r="AE51" i="1" s="1"/>
  <c r="AD52" i="1"/>
  <c r="AE52" i="1" s="1"/>
  <c r="AD53" i="1"/>
  <c r="AE53" i="1" s="1"/>
  <c r="AD54" i="1"/>
  <c r="AE54" i="1" s="1"/>
  <c r="AD55" i="1"/>
  <c r="AE55" i="1" s="1"/>
  <c r="AD56" i="1"/>
  <c r="AE56" i="1" s="1"/>
  <c r="AD57" i="1"/>
  <c r="AE57" i="1" s="1"/>
  <c r="AD58" i="1"/>
  <c r="AE58" i="1" s="1"/>
  <c r="AD59" i="1"/>
  <c r="AE59" i="1" s="1"/>
  <c r="AD60" i="1"/>
  <c r="AE60" i="1" s="1"/>
  <c r="AD63" i="1"/>
  <c r="AE63" i="1" s="1"/>
  <c r="AD64" i="1"/>
  <c r="AE64" i="1" s="1"/>
  <c r="AD65" i="1"/>
  <c r="AE65" i="1" s="1"/>
  <c r="AD66" i="1"/>
  <c r="AE66" i="1" s="1"/>
  <c r="AD67" i="1"/>
  <c r="AE67" i="1" s="1"/>
  <c r="AD68" i="1"/>
  <c r="AE68" i="1" s="1"/>
  <c r="AD69" i="1"/>
  <c r="AE69" i="1" s="1"/>
  <c r="AD70" i="1"/>
  <c r="AE70" i="1" s="1"/>
  <c r="AD71" i="1"/>
  <c r="AE71" i="1" s="1"/>
  <c r="AD74" i="1"/>
  <c r="AE74" i="1" s="1"/>
  <c r="AD75" i="1"/>
  <c r="AE75" i="1" s="1"/>
  <c r="AD48" i="1"/>
  <c r="AE48" i="1" s="1"/>
  <c r="AD49" i="1"/>
  <c r="AE49" i="1" s="1"/>
  <c r="AD50" i="1"/>
  <c r="AE50" i="1" s="1"/>
  <c r="AD61" i="1"/>
  <c r="AE61" i="1" s="1"/>
  <c r="AD62" i="1"/>
  <c r="AE62" i="1" s="1"/>
  <c r="AD72" i="1"/>
  <c r="AE72" i="1" s="1"/>
  <c r="AD73" i="1"/>
  <c r="AE73" i="1" s="1"/>
  <c r="AD88" i="1"/>
  <c r="AE88" i="1" s="1"/>
  <c r="AD89" i="1"/>
  <c r="AE89" i="1" s="1"/>
  <c r="AD90" i="1"/>
  <c r="AE90" i="1" s="1"/>
  <c r="AD91" i="1"/>
  <c r="AE91" i="1" s="1"/>
  <c r="AD3" i="1"/>
  <c r="AE3" i="1" s="1"/>
  <c r="AD2" i="1"/>
  <c r="AE2" i="1" s="1"/>
  <c r="AD6" i="1"/>
  <c r="AE6" i="1" s="1"/>
  <c r="AD8" i="1"/>
  <c r="AE8" i="1" s="1"/>
  <c r="AD19" i="1"/>
  <c r="AE19" i="1" s="1"/>
  <c r="AD31" i="1"/>
  <c r="AE31" i="1" s="1"/>
  <c r="AD40" i="1"/>
  <c r="AE40" i="1" s="1"/>
  <c r="AD41" i="1"/>
  <c r="AE41" i="1" s="1"/>
  <c r="AD15" i="1"/>
  <c r="AE15" i="1" s="1"/>
  <c r="AD29" i="1"/>
  <c r="AE29" i="1" s="1"/>
  <c r="AD39" i="1"/>
  <c r="AE39" i="1" s="1"/>
  <c r="AD143" i="1"/>
  <c r="AE143" i="1" s="1"/>
  <c r="AD142" i="1"/>
  <c r="AE142" i="1" s="1"/>
  <c r="AD156" i="1"/>
  <c r="AE156" i="1" s="1"/>
  <c r="AD155" i="1"/>
  <c r="AE155" i="1" s="1"/>
  <c r="AD161" i="1"/>
  <c r="AE161" i="1" s="1"/>
  <c r="AD159" i="1"/>
  <c r="AE159" i="1" s="1"/>
  <c r="AD158" i="1"/>
  <c r="AE158" i="1" s="1"/>
  <c r="AD157" i="1"/>
  <c r="AE157" i="1" s="1"/>
  <c r="AD154" i="1"/>
  <c r="AE154" i="1" s="1"/>
  <c r="AD153" i="1"/>
  <c r="AE153" i="1" s="1"/>
  <c r="AD151" i="1"/>
  <c r="AE151" i="1" s="1"/>
  <c r="AD162" i="1"/>
  <c r="AE162" i="1" s="1"/>
  <c r="AD150" i="1"/>
  <c r="AE150" i="1" s="1"/>
  <c r="AD149" i="1"/>
  <c r="AE149" i="1" s="1"/>
  <c r="AD148" i="1"/>
  <c r="AE148" i="1" s="1"/>
  <c r="AD152" i="1"/>
  <c r="AE152" i="1" s="1"/>
  <c r="AD145" i="1"/>
  <c r="AE145" i="1" s="1"/>
  <c r="AD147" i="1"/>
  <c r="AE147" i="1" s="1"/>
  <c r="AD146" i="1"/>
  <c r="AE146" i="1" s="1"/>
  <c r="AD160" i="1"/>
  <c r="AE160" i="1" s="1"/>
  <c r="AD137" i="1"/>
  <c r="AE137" i="1" s="1"/>
  <c r="AD141" i="1"/>
  <c r="AE141" i="1" s="1"/>
  <c r="AD139" i="1"/>
  <c r="AE139" i="1" s="1"/>
  <c r="AD140" i="1"/>
  <c r="AE140" i="1" s="1"/>
  <c r="AD144" i="1"/>
  <c r="AE144" i="1" s="1"/>
  <c r="AD138" i="1"/>
  <c r="AE138" i="1" s="1"/>
  <c r="AD76" i="1"/>
  <c r="AE76" i="1" s="1"/>
  <c r="AD87" i="1"/>
  <c r="AD86" i="1"/>
  <c r="AD85" i="1"/>
  <c r="AD84" i="1"/>
  <c r="AD83" i="1"/>
  <c r="AD82" i="1"/>
  <c r="AE82" i="1" s="1"/>
  <c r="AD81" i="1"/>
  <c r="AD80" i="1"/>
  <c r="AD79" i="1"/>
  <c r="AD78" i="1"/>
  <c r="AD77" i="1"/>
  <c r="AD163" i="1"/>
  <c r="AD174" i="1"/>
  <c r="AD185" i="1"/>
  <c r="AD196" i="1"/>
  <c r="AD207" i="1"/>
  <c r="AD218" i="1"/>
  <c r="AD225" i="1"/>
  <c r="AD226" i="1"/>
  <c r="AD227" i="1"/>
  <c r="AD164" i="1"/>
  <c r="AD165" i="1"/>
  <c r="AD166" i="1"/>
  <c r="AD167" i="1"/>
  <c r="AD168" i="1"/>
  <c r="AD169" i="1"/>
  <c r="AD170" i="1"/>
  <c r="AD171" i="1"/>
  <c r="AD172" i="1"/>
  <c r="AD173" i="1"/>
  <c r="AD175" i="1"/>
  <c r="AD176" i="1"/>
  <c r="AD177" i="1"/>
  <c r="AD178" i="1"/>
  <c r="AD179" i="1"/>
  <c r="AD180" i="1"/>
  <c r="AD181" i="1"/>
  <c r="AD182" i="1"/>
  <c r="AD183" i="1"/>
  <c r="AD184" i="1"/>
  <c r="AD186" i="1"/>
  <c r="AD187" i="1"/>
  <c r="AD188" i="1"/>
  <c r="AD189" i="1"/>
  <c r="AD190" i="1"/>
  <c r="AD191" i="1"/>
  <c r="AD192" i="1"/>
  <c r="AD193" i="1"/>
  <c r="AD194" i="1"/>
  <c r="AD195" i="1"/>
  <c r="AD197" i="1"/>
  <c r="AD198" i="1"/>
  <c r="AD199" i="1"/>
  <c r="AD200" i="1"/>
  <c r="AD201" i="1"/>
  <c r="AD202" i="1"/>
  <c r="AD203" i="1"/>
  <c r="AD204" i="1"/>
  <c r="AD205" i="1"/>
  <c r="AD206" i="1"/>
  <c r="AD208" i="1"/>
  <c r="AD209" i="1"/>
  <c r="AD210" i="1"/>
  <c r="AD211" i="1"/>
  <c r="AD212" i="1"/>
  <c r="AD213" i="1"/>
  <c r="AD214" i="1"/>
  <c r="AD215" i="1"/>
  <c r="AD216" i="1"/>
  <c r="AD217" i="1"/>
  <c r="AD219" i="1"/>
  <c r="AD220" i="1"/>
  <c r="AD221" i="1"/>
  <c r="AD222" i="1"/>
  <c r="AD223" i="1"/>
  <c r="AD224" i="1"/>
  <c r="G163" i="1"/>
  <c r="O174" i="1"/>
  <c r="S174" i="1" s="1"/>
  <c r="O185" i="1"/>
  <c r="S185" i="1" s="1"/>
  <c r="O196" i="1"/>
  <c r="S196" i="1" s="1"/>
  <c r="O207" i="1"/>
  <c r="S207" i="1" s="1"/>
  <c r="O218" i="1"/>
  <c r="S218" i="1" s="1"/>
  <c r="O225" i="1"/>
  <c r="S225" i="1" s="1"/>
  <c r="O226" i="1"/>
  <c r="S226" i="1" s="1"/>
  <c r="O227" i="1"/>
  <c r="S227" i="1" s="1"/>
  <c r="O164" i="1"/>
  <c r="S164" i="1" s="1"/>
  <c r="O165" i="1"/>
  <c r="O166" i="1"/>
  <c r="S166" i="1" s="1"/>
  <c r="O167" i="1"/>
  <c r="O168" i="1"/>
  <c r="S168" i="1" s="1"/>
  <c r="O169" i="1"/>
  <c r="S169" i="1" s="1"/>
  <c r="O170" i="1"/>
  <c r="S170" i="1" s="1"/>
  <c r="O171" i="1"/>
  <c r="S171" i="1" s="1"/>
  <c r="O172" i="1"/>
  <c r="S172" i="1" s="1"/>
  <c r="O173" i="1"/>
  <c r="S173" i="1" s="1"/>
  <c r="O175" i="1"/>
  <c r="S175" i="1" s="1"/>
  <c r="O176" i="1"/>
  <c r="S176" i="1" s="1"/>
  <c r="O177" i="1"/>
  <c r="S177" i="1" s="1"/>
  <c r="O178" i="1"/>
  <c r="S178" i="1" s="1"/>
  <c r="O179" i="1"/>
  <c r="S179" i="1" s="1"/>
  <c r="O180" i="1"/>
  <c r="O181" i="1"/>
  <c r="S181" i="1" s="1"/>
  <c r="O182" i="1"/>
  <c r="S182" i="1" s="1"/>
  <c r="O183" i="1"/>
  <c r="S183" i="1" s="1"/>
  <c r="O184" i="1"/>
  <c r="S184" i="1" s="1"/>
  <c r="O186" i="1"/>
  <c r="S186" i="1" s="1"/>
  <c r="O187" i="1"/>
  <c r="S187" i="1" s="1"/>
  <c r="O188" i="1"/>
  <c r="S188" i="1" s="1"/>
  <c r="O189" i="1"/>
  <c r="S189" i="1" s="1"/>
  <c r="O190" i="1"/>
  <c r="S190" i="1" s="1"/>
  <c r="O191" i="1"/>
  <c r="S191" i="1" s="1"/>
  <c r="O192" i="1"/>
  <c r="S192" i="1" s="1"/>
  <c r="O193" i="1"/>
  <c r="S193" i="1" s="1"/>
  <c r="O194" i="1"/>
  <c r="O195" i="1"/>
  <c r="O197" i="1"/>
  <c r="O198" i="1"/>
  <c r="O199" i="1"/>
  <c r="S199" i="1" s="1"/>
  <c r="O200" i="1"/>
  <c r="O201" i="1"/>
  <c r="S201" i="1" s="1"/>
  <c r="O202" i="1"/>
  <c r="O203" i="1"/>
  <c r="S203" i="1" s="1"/>
  <c r="O204" i="1"/>
  <c r="S204" i="1" s="1"/>
  <c r="O205" i="1"/>
  <c r="S205" i="1" s="1"/>
  <c r="O206" i="1"/>
  <c r="S206" i="1" s="1"/>
  <c r="O208" i="1"/>
  <c r="S208" i="1" s="1"/>
  <c r="O209" i="1"/>
  <c r="S209" i="1" s="1"/>
  <c r="O210" i="1"/>
  <c r="S210" i="1" s="1"/>
  <c r="O211" i="1"/>
  <c r="S211" i="1" s="1"/>
  <c r="O212" i="1"/>
  <c r="S212" i="1" s="1"/>
  <c r="O213" i="1"/>
  <c r="S213" i="1" s="1"/>
  <c r="O214" i="1"/>
  <c r="S214" i="1" s="1"/>
  <c r="O215" i="1"/>
  <c r="S215" i="1" s="1"/>
  <c r="O216" i="1"/>
  <c r="S216" i="1" s="1"/>
  <c r="O217" i="1"/>
  <c r="O219" i="1"/>
  <c r="S219" i="1" s="1"/>
  <c r="O220" i="1"/>
  <c r="O221" i="1"/>
  <c r="S221" i="1" s="1"/>
  <c r="O222" i="1"/>
  <c r="S222" i="1" s="1"/>
  <c r="O223" i="1"/>
  <c r="S223" i="1" s="1"/>
  <c r="O224" i="1"/>
  <c r="S224" i="1" s="1"/>
  <c r="O163" i="1"/>
  <c r="S163" i="1" s="1"/>
  <c r="U12" i="1"/>
  <c r="U13" i="1"/>
  <c r="U21" i="1"/>
  <c r="U22" i="1"/>
  <c r="U23" i="1"/>
  <c r="U24" i="1"/>
  <c r="U25" i="1"/>
  <c r="U26" i="1"/>
  <c r="U27" i="1"/>
  <c r="U28" i="1"/>
  <c r="U33" i="1"/>
  <c r="U34" i="1"/>
  <c r="U35" i="1"/>
  <c r="U36" i="1"/>
  <c r="U37" i="1"/>
  <c r="U38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4" i="1"/>
  <c r="U5" i="1"/>
  <c r="U7" i="1"/>
  <c r="U16" i="1"/>
  <c r="U17" i="1"/>
  <c r="U18" i="1"/>
  <c r="U20" i="1"/>
  <c r="U30" i="1"/>
  <c r="U32" i="1"/>
  <c r="U42" i="1"/>
  <c r="U43" i="1"/>
  <c r="U44" i="1"/>
  <c r="U45" i="1"/>
  <c r="U46" i="1"/>
  <c r="U47" i="1"/>
  <c r="U51" i="1"/>
  <c r="U52" i="1"/>
  <c r="U53" i="1"/>
  <c r="U54" i="1"/>
  <c r="U55" i="1"/>
  <c r="U56" i="1"/>
  <c r="U57" i="1"/>
  <c r="U58" i="1"/>
  <c r="U59" i="1"/>
  <c r="U60" i="1"/>
  <c r="U63" i="1"/>
  <c r="U64" i="1"/>
  <c r="U65" i="1"/>
  <c r="U66" i="1"/>
  <c r="U67" i="1"/>
  <c r="U68" i="1"/>
  <c r="U69" i="1"/>
  <c r="U70" i="1"/>
  <c r="U71" i="1"/>
  <c r="U74" i="1"/>
  <c r="U75" i="1"/>
  <c r="U48" i="1"/>
  <c r="U49" i="1"/>
  <c r="U50" i="1"/>
  <c r="U61" i="1"/>
  <c r="U62" i="1"/>
  <c r="U72" i="1"/>
  <c r="U73" i="1"/>
  <c r="U88" i="1"/>
  <c r="U89" i="1"/>
  <c r="U90" i="1"/>
  <c r="U91" i="1"/>
  <c r="U3" i="1"/>
  <c r="U2" i="1"/>
  <c r="U6" i="1"/>
  <c r="U8" i="1"/>
  <c r="U19" i="1"/>
  <c r="U31" i="1"/>
  <c r="U40" i="1"/>
  <c r="U41" i="1"/>
  <c r="U15" i="1"/>
  <c r="U29" i="1"/>
  <c r="U39" i="1"/>
  <c r="U143" i="1"/>
  <c r="U142" i="1"/>
  <c r="U156" i="1"/>
  <c r="U155" i="1"/>
  <c r="U161" i="1"/>
  <c r="U159" i="1"/>
  <c r="U158" i="1"/>
  <c r="U157" i="1"/>
  <c r="U154" i="1"/>
  <c r="U153" i="1"/>
  <c r="U151" i="1"/>
  <c r="U162" i="1"/>
  <c r="U150" i="1"/>
  <c r="U149" i="1"/>
  <c r="U148" i="1"/>
  <c r="U152" i="1"/>
  <c r="U145" i="1"/>
  <c r="U147" i="1"/>
  <c r="U146" i="1"/>
  <c r="U160" i="1"/>
  <c r="U137" i="1"/>
  <c r="U141" i="1"/>
  <c r="U139" i="1"/>
  <c r="U140" i="1"/>
  <c r="U144" i="1"/>
  <c r="U138" i="1"/>
  <c r="U76" i="1"/>
  <c r="U82" i="1"/>
  <c r="U174" i="1"/>
  <c r="U185" i="1"/>
  <c r="U196" i="1"/>
  <c r="U207" i="1"/>
  <c r="U218" i="1"/>
  <c r="U225" i="1"/>
  <c r="U226" i="1"/>
  <c r="U227" i="1"/>
  <c r="U164" i="1"/>
  <c r="U165" i="1"/>
  <c r="U166" i="1"/>
  <c r="U167" i="1"/>
  <c r="U168" i="1"/>
  <c r="U169" i="1"/>
  <c r="U170" i="1"/>
  <c r="U171" i="1"/>
  <c r="U172" i="1"/>
  <c r="U173" i="1"/>
  <c r="U175" i="1"/>
  <c r="U176" i="1"/>
  <c r="U177" i="1"/>
  <c r="U178" i="1"/>
  <c r="U179" i="1"/>
  <c r="U180" i="1"/>
  <c r="U181" i="1"/>
  <c r="U182" i="1"/>
  <c r="U183" i="1"/>
  <c r="U184" i="1"/>
  <c r="U186" i="1"/>
  <c r="U187" i="1"/>
  <c r="U188" i="1"/>
  <c r="U189" i="1"/>
  <c r="U190" i="1"/>
  <c r="U191" i="1"/>
  <c r="U192" i="1"/>
  <c r="U193" i="1"/>
  <c r="U194" i="1"/>
  <c r="U195" i="1"/>
  <c r="U197" i="1"/>
  <c r="U198" i="1"/>
  <c r="U199" i="1"/>
  <c r="U200" i="1"/>
  <c r="U201" i="1"/>
  <c r="U202" i="1"/>
  <c r="U203" i="1"/>
  <c r="U204" i="1"/>
  <c r="U205" i="1"/>
  <c r="U206" i="1"/>
  <c r="U208" i="1"/>
  <c r="U209" i="1"/>
  <c r="U210" i="1"/>
  <c r="U211" i="1"/>
  <c r="U212" i="1"/>
  <c r="U213" i="1"/>
  <c r="U214" i="1"/>
  <c r="U215" i="1"/>
  <c r="U216" i="1"/>
  <c r="U217" i="1"/>
  <c r="U219" i="1"/>
  <c r="U220" i="1"/>
  <c r="U221" i="1"/>
  <c r="U222" i="1"/>
  <c r="U223" i="1"/>
  <c r="U224" i="1"/>
  <c r="U11" i="1"/>
  <c r="U10" i="1"/>
  <c r="U9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4" i="1"/>
  <c r="T5" i="1"/>
  <c r="T7" i="1"/>
  <c r="T16" i="1"/>
  <c r="T17" i="1"/>
  <c r="T18" i="1"/>
  <c r="T20" i="1"/>
  <c r="T30" i="1"/>
  <c r="T32" i="1"/>
  <c r="T42" i="1"/>
  <c r="T43" i="1"/>
  <c r="T44" i="1"/>
  <c r="T45" i="1"/>
  <c r="T46" i="1"/>
  <c r="T47" i="1"/>
  <c r="T51" i="1"/>
  <c r="T52" i="1"/>
  <c r="T53" i="1"/>
  <c r="T54" i="1"/>
  <c r="T55" i="1"/>
  <c r="T56" i="1"/>
  <c r="T57" i="1"/>
  <c r="T58" i="1"/>
  <c r="T59" i="1"/>
  <c r="T60" i="1"/>
  <c r="T63" i="1"/>
  <c r="T64" i="1"/>
  <c r="T65" i="1"/>
  <c r="T66" i="1"/>
  <c r="T67" i="1"/>
  <c r="T68" i="1"/>
  <c r="T69" i="1"/>
  <c r="T70" i="1"/>
  <c r="T71" i="1"/>
  <c r="T74" i="1"/>
  <c r="T75" i="1"/>
  <c r="T48" i="1"/>
  <c r="T49" i="1"/>
  <c r="T50" i="1"/>
  <c r="T61" i="1"/>
  <c r="T62" i="1"/>
  <c r="T72" i="1"/>
  <c r="T73" i="1"/>
  <c r="T88" i="1"/>
  <c r="T89" i="1"/>
  <c r="T90" i="1"/>
  <c r="T91" i="1"/>
  <c r="T3" i="1"/>
  <c r="T2" i="1"/>
  <c r="T6" i="1"/>
  <c r="T8" i="1"/>
  <c r="T19" i="1"/>
  <c r="T31" i="1"/>
  <c r="T40" i="1"/>
  <c r="T41" i="1"/>
  <c r="T15" i="1"/>
  <c r="T29" i="1"/>
  <c r="T39" i="1"/>
  <c r="T143" i="1"/>
  <c r="T142" i="1"/>
  <c r="T156" i="1"/>
  <c r="T155" i="1"/>
  <c r="T161" i="1"/>
  <c r="T159" i="1"/>
  <c r="T158" i="1"/>
  <c r="T157" i="1"/>
  <c r="T154" i="1"/>
  <c r="T153" i="1"/>
  <c r="T151" i="1"/>
  <c r="T162" i="1"/>
  <c r="T150" i="1"/>
  <c r="T149" i="1"/>
  <c r="T148" i="1"/>
  <c r="T152" i="1"/>
  <c r="T145" i="1"/>
  <c r="T147" i="1"/>
  <c r="T146" i="1"/>
  <c r="T160" i="1"/>
  <c r="T137" i="1"/>
  <c r="T141" i="1"/>
  <c r="T139" i="1"/>
  <c r="T140" i="1"/>
  <c r="T144" i="1"/>
  <c r="T138" i="1"/>
  <c r="T76" i="1"/>
  <c r="T82" i="1"/>
  <c r="T163" i="1"/>
  <c r="T174" i="1"/>
  <c r="T185" i="1"/>
  <c r="T196" i="1"/>
  <c r="T207" i="1"/>
  <c r="T218" i="1"/>
  <c r="T225" i="1"/>
  <c r="T226" i="1"/>
  <c r="T227" i="1"/>
  <c r="T164" i="1"/>
  <c r="T165" i="1"/>
  <c r="T166" i="1"/>
  <c r="T167" i="1"/>
  <c r="T168" i="1"/>
  <c r="T169" i="1"/>
  <c r="T170" i="1"/>
  <c r="T171" i="1"/>
  <c r="T172" i="1"/>
  <c r="T173" i="1"/>
  <c r="T175" i="1"/>
  <c r="T176" i="1"/>
  <c r="T177" i="1"/>
  <c r="T178" i="1"/>
  <c r="T179" i="1"/>
  <c r="T180" i="1"/>
  <c r="T181" i="1"/>
  <c r="T182" i="1"/>
  <c r="T183" i="1"/>
  <c r="T184" i="1"/>
  <c r="T186" i="1"/>
  <c r="T187" i="1"/>
  <c r="T188" i="1"/>
  <c r="T189" i="1"/>
  <c r="T190" i="1"/>
  <c r="T191" i="1"/>
  <c r="T192" i="1"/>
  <c r="T193" i="1"/>
  <c r="T194" i="1"/>
  <c r="T195" i="1"/>
  <c r="T197" i="1"/>
  <c r="T198" i="1"/>
  <c r="T199" i="1"/>
  <c r="T200" i="1"/>
  <c r="T201" i="1"/>
  <c r="T202" i="1"/>
  <c r="T203" i="1"/>
  <c r="T204" i="1"/>
  <c r="T205" i="1"/>
  <c r="T206" i="1"/>
  <c r="T208" i="1"/>
  <c r="T209" i="1"/>
  <c r="T210" i="1"/>
  <c r="T211" i="1"/>
  <c r="T212" i="1"/>
  <c r="T213" i="1"/>
  <c r="T214" i="1"/>
  <c r="T215" i="1"/>
  <c r="T216" i="1"/>
  <c r="T217" i="1"/>
  <c r="T219" i="1"/>
  <c r="T220" i="1"/>
  <c r="T221" i="1"/>
  <c r="T222" i="1"/>
  <c r="T223" i="1"/>
  <c r="T224" i="1"/>
  <c r="T10" i="1"/>
  <c r="T11" i="1"/>
  <c r="T13" i="1"/>
  <c r="T14" i="1"/>
  <c r="T21" i="1"/>
  <c r="T22" i="1"/>
  <c r="T23" i="1"/>
  <c r="T24" i="1"/>
  <c r="T25" i="1"/>
  <c r="T26" i="1"/>
  <c r="T27" i="1"/>
  <c r="T28" i="1"/>
  <c r="T33" i="1"/>
  <c r="T34" i="1"/>
  <c r="T35" i="1"/>
  <c r="T36" i="1"/>
  <c r="T37" i="1"/>
  <c r="T38" i="1"/>
  <c r="T92" i="1"/>
  <c r="T93" i="1"/>
  <c r="T9" i="1"/>
  <c r="AC9" i="1"/>
  <c r="AC10" i="1"/>
  <c r="AC11" i="1"/>
  <c r="AC12" i="1"/>
  <c r="AC13" i="1"/>
  <c r="AC14" i="1"/>
  <c r="AC21" i="1"/>
  <c r="AC22" i="1"/>
  <c r="AC23" i="1"/>
  <c r="AC24" i="1"/>
  <c r="AC25" i="1"/>
  <c r="AC26" i="1"/>
  <c r="AC27" i="1"/>
  <c r="AC28" i="1"/>
  <c r="AC33" i="1"/>
  <c r="AC34" i="1"/>
  <c r="AC35" i="1"/>
  <c r="AC36" i="1"/>
  <c r="AC37" i="1"/>
  <c r="AC38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4" i="1"/>
  <c r="AC5" i="1"/>
  <c r="AC7" i="1"/>
  <c r="AC16" i="1"/>
  <c r="AC17" i="1"/>
  <c r="AC18" i="1"/>
  <c r="AC20" i="1"/>
  <c r="AC30" i="1"/>
  <c r="AC32" i="1"/>
  <c r="AC42" i="1"/>
  <c r="AC43" i="1"/>
  <c r="AC44" i="1"/>
  <c r="AC45" i="1"/>
  <c r="AC46" i="1"/>
  <c r="AC47" i="1"/>
  <c r="AC51" i="1"/>
  <c r="AC52" i="1"/>
  <c r="AC53" i="1"/>
  <c r="AC54" i="1"/>
  <c r="AC55" i="1"/>
  <c r="AC56" i="1"/>
  <c r="AC57" i="1"/>
  <c r="AC58" i="1"/>
  <c r="AC59" i="1"/>
  <c r="AC60" i="1"/>
  <c r="AC63" i="1"/>
  <c r="AC64" i="1"/>
  <c r="AC65" i="1"/>
  <c r="AC66" i="1"/>
  <c r="AC67" i="1"/>
  <c r="AC68" i="1"/>
  <c r="AC69" i="1"/>
  <c r="AC70" i="1"/>
  <c r="AC71" i="1"/>
  <c r="AC74" i="1"/>
  <c r="AC75" i="1"/>
  <c r="AC48" i="1"/>
  <c r="AC49" i="1"/>
  <c r="AC50" i="1"/>
  <c r="AC61" i="1"/>
  <c r="AC62" i="1"/>
  <c r="AC72" i="1"/>
  <c r="AC73" i="1"/>
  <c r="AC88" i="1"/>
  <c r="AC89" i="1"/>
  <c r="AC90" i="1"/>
  <c r="AC91" i="1"/>
  <c r="AC3" i="1"/>
  <c r="AC2" i="1"/>
  <c r="AC6" i="1"/>
  <c r="AC8" i="1"/>
  <c r="AC19" i="1"/>
  <c r="AC31" i="1"/>
  <c r="AC40" i="1"/>
  <c r="AC41" i="1"/>
  <c r="AC15" i="1"/>
  <c r="AC29" i="1"/>
  <c r="AC39" i="1"/>
  <c r="AC143" i="1"/>
  <c r="AC142" i="1"/>
  <c r="AC156" i="1"/>
  <c r="AC155" i="1"/>
  <c r="AC161" i="1"/>
  <c r="AC159" i="1"/>
  <c r="AC158" i="1"/>
  <c r="AC157" i="1"/>
  <c r="AC154" i="1"/>
  <c r="AC153" i="1"/>
  <c r="AC151" i="1"/>
  <c r="AC162" i="1"/>
  <c r="AC150" i="1"/>
  <c r="AC149" i="1"/>
  <c r="AC148" i="1"/>
  <c r="AC152" i="1"/>
  <c r="AC145" i="1"/>
  <c r="AC147" i="1"/>
  <c r="AC146" i="1"/>
  <c r="AC160" i="1"/>
  <c r="AC137" i="1"/>
  <c r="AC141" i="1"/>
  <c r="AC139" i="1"/>
  <c r="AC140" i="1"/>
  <c r="AC144" i="1"/>
  <c r="AC138" i="1"/>
  <c r="AC76" i="1"/>
  <c r="AC87" i="1"/>
  <c r="AC86" i="1"/>
  <c r="AC85" i="1"/>
  <c r="AC84" i="1"/>
  <c r="AC83" i="1"/>
  <c r="AC82" i="1"/>
  <c r="AC81" i="1"/>
  <c r="AC80" i="1"/>
  <c r="AC79" i="1"/>
  <c r="AC78" i="1"/>
  <c r="AC77" i="1"/>
  <c r="AB9" i="1"/>
  <c r="AB10" i="1"/>
  <c r="AB11" i="1"/>
  <c r="AB12" i="1"/>
  <c r="AB13" i="1"/>
  <c r="AB14" i="1"/>
  <c r="AB21" i="1"/>
  <c r="AB22" i="1"/>
  <c r="AB23" i="1"/>
  <c r="AB24" i="1"/>
  <c r="AB25" i="1"/>
  <c r="AB26" i="1"/>
  <c r="AB27" i="1"/>
  <c r="AB28" i="1"/>
  <c r="AB33" i="1"/>
  <c r="AB34" i="1"/>
  <c r="AB35" i="1"/>
  <c r="AB36" i="1"/>
  <c r="AB37" i="1"/>
  <c r="AB38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4" i="1"/>
  <c r="AB5" i="1"/>
  <c r="AB7" i="1"/>
  <c r="AB16" i="1"/>
  <c r="AB17" i="1"/>
  <c r="AB18" i="1"/>
  <c r="AB20" i="1"/>
  <c r="AB30" i="1"/>
  <c r="AB32" i="1"/>
  <c r="AB42" i="1"/>
  <c r="AB43" i="1"/>
  <c r="AB44" i="1"/>
  <c r="AB45" i="1"/>
  <c r="AB46" i="1"/>
  <c r="AB47" i="1"/>
  <c r="AB51" i="1"/>
  <c r="AB52" i="1"/>
  <c r="AB53" i="1"/>
  <c r="AB54" i="1"/>
  <c r="AB55" i="1"/>
  <c r="AB56" i="1"/>
  <c r="AB57" i="1"/>
  <c r="AB58" i="1"/>
  <c r="AB59" i="1"/>
  <c r="AB60" i="1"/>
  <c r="AB63" i="1"/>
  <c r="AB64" i="1"/>
  <c r="AB65" i="1"/>
  <c r="AB66" i="1"/>
  <c r="AB67" i="1"/>
  <c r="AB68" i="1"/>
  <c r="AB69" i="1"/>
  <c r="AB70" i="1"/>
  <c r="AB71" i="1"/>
  <c r="AB74" i="1"/>
  <c r="AB75" i="1"/>
  <c r="AB48" i="1"/>
  <c r="AB49" i="1"/>
  <c r="AB50" i="1"/>
  <c r="AB61" i="1"/>
  <c r="AB62" i="1"/>
  <c r="AB72" i="1"/>
  <c r="AB73" i="1"/>
  <c r="AB88" i="1"/>
  <c r="AB89" i="1"/>
  <c r="AB90" i="1"/>
  <c r="AB91" i="1"/>
  <c r="AB3" i="1"/>
  <c r="AB2" i="1"/>
  <c r="AB6" i="1"/>
  <c r="AB8" i="1"/>
  <c r="AB19" i="1"/>
  <c r="AB31" i="1"/>
  <c r="AB40" i="1"/>
  <c r="AB41" i="1"/>
  <c r="AB15" i="1"/>
  <c r="AB29" i="1"/>
  <c r="AB39" i="1"/>
  <c r="AB143" i="1"/>
  <c r="AB142" i="1"/>
  <c r="AB156" i="1"/>
  <c r="AB155" i="1"/>
  <c r="AB161" i="1"/>
  <c r="AB159" i="1"/>
  <c r="AB158" i="1"/>
  <c r="AB157" i="1"/>
  <c r="AB154" i="1"/>
  <c r="AB153" i="1"/>
  <c r="AB151" i="1"/>
  <c r="AB162" i="1"/>
  <c r="AB150" i="1"/>
  <c r="AB149" i="1"/>
  <c r="AB148" i="1"/>
  <c r="AB152" i="1"/>
  <c r="AB145" i="1"/>
  <c r="AB147" i="1"/>
  <c r="AB146" i="1"/>
  <c r="AB160" i="1"/>
  <c r="AB137" i="1"/>
  <c r="AB141" i="1"/>
  <c r="AB139" i="1"/>
  <c r="AB140" i="1"/>
  <c r="AB144" i="1"/>
  <c r="AB138" i="1"/>
  <c r="AB76" i="1"/>
  <c r="AB87" i="1"/>
  <c r="AB86" i="1"/>
  <c r="AB85" i="1"/>
  <c r="AB84" i="1"/>
  <c r="AB83" i="1"/>
  <c r="AB82" i="1"/>
  <c r="AB81" i="1"/>
  <c r="AB80" i="1"/>
  <c r="AB79" i="1"/>
  <c r="AB78" i="1"/>
  <c r="AB77" i="1"/>
  <c r="K77" i="1"/>
  <c r="K78" i="1"/>
  <c r="K79" i="1"/>
  <c r="K80" i="1"/>
  <c r="K81" i="1"/>
  <c r="K83" i="1"/>
  <c r="K84" i="1"/>
  <c r="K85" i="1"/>
  <c r="K86" i="1"/>
  <c r="K87" i="1"/>
  <c r="J174" i="1"/>
  <c r="N174" i="1" s="1"/>
  <c r="J185" i="1"/>
  <c r="N185" i="1" s="1"/>
  <c r="J196" i="1"/>
  <c r="N196" i="1" s="1"/>
  <c r="J207" i="1"/>
  <c r="N207" i="1" s="1"/>
  <c r="J218" i="1"/>
  <c r="N218" i="1" s="1"/>
  <c r="J225" i="1"/>
  <c r="N225" i="1" s="1"/>
  <c r="J226" i="1"/>
  <c r="N226" i="1" s="1"/>
  <c r="J227" i="1"/>
  <c r="N227" i="1" s="1"/>
  <c r="J164" i="1"/>
  <c r="H164" i="1" s="1"/>
  <c r="J165" i="1"/>
  <c r="H165" i="1" s="1"/>
  <c r="J166" i="1"/>
  <c r="H166" i="1" s="1"/>
  <c r="J167" i="1"/>
  <c r="H167" i="1" s="1"/>
  <c r="J168" i="1"/>
  <c r="H168" i="1" s="1"/>
  <c r="J169" i="1"/>
  <c r="N169" i="1" s="1"/>
  <c r="J170" i="1"/>
  <c r="N170" i="1" s="1"/>
  <c r="J171" i="1"/>
  <c r="N171" i="1" s="1"/>
  <c r="R171" i="1" s="1"/>
  <c r="J172" i="1"/>
  <c r="N172" i="1" s="1"/>
  <c r="J173" i="1"/>
  <c r="N173" i="1" s="1"/>
  <c r="J175" i="1"/>
  <c r="N175" i="1" s="1"/>
  <c r="J176" i="1"/>
  <c r="N176" i="1" s="1"/>
  <c r="J177" i="1"/>
  <c r="N177" i="1" s="1"/>
  <c r="J178" i="1"/>
  <c r="N178" i="1" s="1"/>
  <c r="J179" i="1"/>
  <c r="N179" i="1" s="1"/>
  <c r="J180" i="1"/>
  <c r="N180" i="1" s="1"/>
  <c r="R180" i="1" s="1"/>
  <c r="J181" i="1"/>
  <c r="H181" i="1" s="1"/>
  <c r="J182" i="1"/>
  <c r="H182" i="1" s="1"/>
  <c r="J183" i="1"/>
  <c r="H183" i="1" s="1"/>
  <c r="J184" i="1"/>
  <c r="H184" i="1" s="1"/>
  <c r="J186" i="1"/>
  <c r="H186" i="1" s="1"/>
  <c r="J187" i="1"/>
  <c r="N187" i="1" s="1"/>
  <c r="J188" i="1"/>
  <c r="N188" i="1" s="1"/>
  <c r="J189" i="1"/>
  <c r="N189" i="1" s="1"/>
  <c r="R189" i="1" s="1"/>
  <c r="J190" i="1"/>
  <c r="N190" i="1" s="1"/>
  <c r="J191" i="1"/>
  <c r="N191" i="1" s="1"/>
  <c r="J192" i="1"/>
  <c r="N192" i="1" s="1"/>
  <c r="J193" i="1"/>
  <c r="N193" i="1" s="1"/>
  <c r="J194" i="1"/>
  <c r="N194" i="1" s="1"/>
  <c r="R194" i="1" s="1"/>
  <c r="J195" i="1"/>
  <c r="N195" i="1" s="1"/>
  <c r="R195" i="1" s="1"/>
  <c r="J197" i="1"/>
  <c r="N197" i="1" s="1"/>
  <c r="R197" i="1" s="1"/>
  <c r="J198" i="1"/>
  <c r="N198" i="1" s="1"/>
  <c r="R198" i="1" s="1"/>
  <c r="J199" i="1"/>
  <c r="H199" i="1" s="1"/>
  <c r="J200" i="1"/>
  <c r="H200" i="1" s="1"/>
  <c r="J201" i="1"/>
  <c r="H201" i="1" s="1"/>
  <c r="J202" i="1"/>
  <c r="H202" i="1" s="1"/>
  <c r="J203" i="1"/>
  <c r="H203" i="1" s="1"/>
  <c r="J204" i="1"/>
  <c r="N204" i="1" s="1"/>
  <c r="J205" i="1"/>
  <c r="N205" i="1" s="1"/>
  <c r="J206" i="1"/>
  <c r="N206" i="1" s="1"/>
  <c r="R206" i="1" s="1"/>
  <c r="J208" i="1"/>
  <c r="N208" i="1" s="1"/>
  <c r="J209" i="1"/>
  <c r="N209" i="1" s="1"/>
  <c r="J210" i="1"/>
  <c r="N210" i="1" s="1"/>
  <c r="J211" i="1"/>
  <c r="N211" i="1" s="1"/>
  <c r="J212" i="1"/>
  <c r="N212" i="1" s="1"/>
  <c r="J213" i="1"/>
  <c r="N213" i="1" s="1"/>
  <c r="J214" i="1"/>
  <c r="N214" i="1" s="1"/>
  <c r="J215" i="1"/>
  <c r="N215" i="1" s="1"/>
  <c r="J216" i="1"/>
  <c r="H216" i="1" s="1"/>
  <c r="J217" i="1"/>
  <c r="H217" i="1" s="1"/>
  <c r="J219" i="1"/>
  <c r="H219" i="1" s="1"/>
  <c r="J220" i="1"/>
  <c r="H220" i="1" s="1"/>
  <c r="J221" i="1"/>
  <c r="H221" i="1" s="1"/>
  <c r="J222" i="1"/>
  <c r="N222" i="1" s="1"/>
  <c r="J223" i="1"/>
  <c r="N223" i="1" s="1"/>
  <c r="J224" i="1"/>
  <c r="N224" i="1" s="1"/>
  <c r="R224" i="1" s="1"/>
  <c r="J163" i="1"/>
  <c r="N163" i="1" s="1"/>
  <c r="R163" i="1" s="1"/>
  <c r="G77" i="1"/>
  <c r="T77" i="1" s="1"/>
  <c r="G78" i="1"/>
  <c r="U78" i="1" s="1"/>
  <c r="G79" i="1"/>
  <c r="T79" i="1" s="1"/>
  <c r="G80" i="1"/>
  <c r="T80" i="1" s="1"/>
  <c r="G81" i="1"/>
  <c r="T81" i="1" s="1"/>
  <c r="G83" i="1"/>
  <c r="T83" i="1" s="1"/>
  <c r="G84" i="1"/>
  <c r="T84" i="1" s="1"/>
  <c r="G85" i="1"/>
  <c r="T85" i="1" s="1"/>
  <c r="G86" i="1"/>
  <c r="T86" i="1" s="1"/>
  <c r="G87" i="1"/>
  <c r="T87" i="1" s="1"/>
  <c r="AE223" i="1" l="1"/>
  <c r="AE78" i="1"/>
  <c r="AE79" i="1"/>
  <c r="AE198" i="1"/>
  <c r="AE180" i="1"/>
  <c r="AE197" i="1"/>
  <c r="AE195" i="1"/>
  <c r="AE194" i="1"/>
  <c r="AE163" i="1"/>
  <c r="AE222" i="1"/>
  <c r="AE204" i="1"/>
  <c r="AE187" i="1"/>
  <c r="AE169" i="1"/>
  <c r="AE80" i="1"/>
  <c r="AE81" i="1"/>
  <c r="AE83" i="1"/>
  <c r="AE215" i="1"/>
  <c r="AE227" i="1"/>
  <c r="AE84" i="1"/>
  <c r="AE214" i="1"/>
  <c r="AE179" i="1"/>
  <c r="AE226" i="1"/>
  <c r="AE85" i="1"/>
  <c r="AE213" i="1"/>
  <c r="AE178" i="1"/>
  <c r="AE225" i="1"/>
  <c r="AE86" i="1"/>
  <c r="AE212" i="1"/>
  <c r="AE177" i="1"/>
  <c r="AE218" i="1"/>
  <c r="AE87" i="1"/>
  <c r="AE211" i="1"/>
  <c r="AE193" i="1"/>
  <c r="AE176" i="1"/>
  <c r="AE207" i="1"/>
  <c r="AE210" i="1"/>
  <c r="AE192" i="1"/>
  <c r="AE175" i="1"/>
  <c r="AE196" i="1"/>
  <c r="AE209" i="1"/>
  <c r="AE191" i="1"/>
  <c r="AE173" i="1"/>
  <c r="AE185" i="1"/>
  <c r="AE208" i="1"/>
  <c r="AE190" i="1"/>
  <c r="AE172" i="1"/>
  <c r="AE174" i="1"/>
  <c r="AE224" i="1"/>
  <c r="AE206" i="1"/>
  <c r="AE189" i="1"/>
  <c r="AE171" i="1"/>
  <c r="AE205" i="1"/>
  <c r="AE188" i="1"/>
  <c r="AE170" i="1"/>
  <c r="AE77" i="1"/>
  <c r="U163" i="1"/>
  <c r="H224" i="1"/>
  <c r="H222" i="1"/>
  <c r="H215" i="1"/>
  <c r="H223" i="1"/>
  <c r="H214" i="1"/>
  <c r="H227" i="1"/>
  <c r="H180" i="1"/>
  <c r="H188" i="1"/>
  <c r="H187" i="1"/>
  <c r="H179" i="1"/>
  <c r="H178" i="1"/>
  <c r="H213" i="1"/>
  <c r="H169" i="1"/>
  <c r="H193" i="1"/>
  <c r="H226" i="1"/>
  <c r="H225" i="1"/>
  <c r="H192" i="1"/>
  <c r="H191" i="1"/>
  <c r="H190" i="1"/>
  <c r="H189" i="1"/>
  <c r="H207" i="1"/>
  <c r="H210" i="1"/>
  <c r="H174" i="1"/>
  <c r="H209" i="1"/>
  <c r="H196" i="1"/>
  <c r="H208" i="1"/>
  <c r="H211" i="1"/>
  <c r="H206" i="1"/>
  <c r="H176" i="1"/>
  <c r="H185" i="1"/>
  <c r="H175" i="1"/>
  <c r="H204" i="1"/>
  <c r="H173" i="1"/>
  <c r="H205" i="1"/>
  <c r="H172" i="1"/>
  <c r="H197" i="1"/>
  <c r="H171" i="1"/>
  <c r="H198" i="1"/>
  <c r="H163" i="1"/>
  <c r="H195" i="1"/>
  <c r="H170" i="1"/>
  <c r="R177" i="1"/>
  <c r="AC177" i="1"/>
  <c r="R218" i="1"/>
  <c r="AC218" i="1"/>
  <c r="R193" i="1"/>
  <c r="AC193" i="1"/>
  <c r="R176" i="1"/>
  <c r="AC176" i="1"/>
  <c r="R207" i="1"/>
  <c r="AC207" i="1"/>
  <c r="R192" i="1"/>
  <c r="AC192" i="1"/>
  <c r="R175" i="1"/>
  <c r="AC175" i="1"/>
  <c r="R196" i="1"/>
  <c r="AC196" i="1"/>
  <c r="R173" i="1"/>
  <c r="AC173" i="1"/>
  <c r="R185" i="1"/>
  <c r="AC185" i="1"/>
  <c r="R172" i="1"/>
  <c r="AC172" i="1"/>
  <c r="R174" i="1"/>
  <c r="AC174" i="1"/>
  <c r="R212" i="1"/>
  <c r="AC212" i="1"/>
  <c r="AC170" i="1"/>
  <c r="R170" i="1"/>
  <c r="R210" i="1"/>
  <c r="AC210" i="1"/>
  <c r="AC169" i="1"/>
  <c r="R169" i="1"/>
  <c r="R208" i="1"/>
  <c r="AC208" i="1"/>
  <c r="AC204" i="1"/>
  <c r="R204" i="1"/>
  <c r="AC222" i="1"/>
  <c r="R222" i="1"/>
  <c r="AC205" i="1"/>
  <c r="R205" i="1"/>
  <c r="R209" i="1"/>
  <c r="AC209" i="1"/>
  <c r="AC223" i="1"/>
  <c r="R223" i="1"/>
  <c r="R215" i="1"/>
  <c r="AC215" i="1"/>
  <c r="AC227" i="1"/>
  <c r="R227" i="1"/>
  <c r="R191" i="1"/>
  <c r="AC191" i="1"/>
  <c r="AC187" i="1"/>
  <c r="R187" i="1"/>
  <c r="R214" i="1"/>
  <c r="AC214" i="1"/>
  <c r="R179" i="1"/>
  <c r="AC179" i="1"/>
  <c r="R226" i="1"/>
  <c r="AC226" i="1"/>
  <c r="AC211" i="1"/>
  <c r="R211" i="1"/>
  <c r="R190" i="1"/>
  <c r="AC190" i="1"/>
  <c r="AC188" i="1"/>
  <c r="R188" i="1"/>
  <c r="R213" i="1"/>
  <c r="AC213" i="1"/>
  <c r="R178" i="1"/>
  <c r="AC178" i="1"/>
  <c r="R225" i="1"/>
  <c r="AC225" i="1"/>
  <c r="T78" i="1"/>
  <c r="U79" i="1"/>
  <c r="N221" i="1"/>
  <c r="AE221" i="1" s="1"/>
  <c r="N203" i="1"/>
  <c r="N186" i="1"/>
  <c r="N168" i="1"/>
  <c r="U80" i="1"/>
  <c r="N220" i="1"/>
  <c r="N202" i="1"/>
  <c r="N184" i="1"/>
  <c r="AE184" i="1" s="1"/>
  <c r="N167" i="1"/>
  <c r="AB167" i="1" s="1"/>
  <c r="U81" i="1"/>
  <c r="N219" i="1"/>
  <c r="AE219" i="1" s="1"/>
  <c r="N201" i="1"/>
  <c r="AE201" i="1" s="1"/>
  <c r="N183" i="1"/>
  <c r="AE183" i="1" s="1"/>
  <c r="N166" i="1"/>
  <c r="AE166" i="1" s="1"/>
  <c r="H212" i="1"/>
  <c r="H194" i="1"/>
  <c r="H177" i="1"/>
  <c r="H218" i="1"/>
  <c r="N217" i="1"/>
  <c r="R217" i="1" s="1"/>
  <c r="N200" i="1"/>
  <c r="R200" i="1" s="1"/>
  <c r="N182" i="1"/>
  <c r="AE182" i="1" s="1"/>
  <c r="N165" i="1"/>
  <c r="R165" i="1" s="1"/>
  <c r="U83" i="1"/>
  <c r="N216" i="1"/>
  <c r="AB216" i="1" s="1"/>
  <c r="N199" i="1"/>
  <c r="AB199" i="1" s="1"/>
  <c r="N181" i="1"/>
  <c r="AB181" i="1" s="1"/>
  <c r="N164" i="1"/>
  <c r="AB164" i="1" s="1"/>
  <c r="S220" i="1"/>
  <c r="S202" i="1"/>
  <c r="S167" i="1"/>
  <c r="U84" i="1"/>
  <c r="U85" i="1"/>
  <c r="AC198" i="1"/>
  <c r="AC180" i="1"/>
  <c r="S217" i="1"/>
  <c r="S200" i="1"/>
  <c r="S165" i="1"/>
  <c r="U86" i="1"/>
  <c r="AC197" i="1"/>
  <c r="U87" i="1"/>
  <c r="AC195" i="1"/>
  <c r="S198" i="1"/>
  <c r="S180" i="1"/>
  <c r="AC194" i="1"/>
  <c r="S197" i="1"/>
  <c r="S195" i="1"/>
  <c r="S194" i="1"/>
  <c r="U77" i="1"/>
  <c r="AB222" i="1"/>
  <c r="AB187" i="1"/>
  <c r="AB204" i="1"/>
  <c r="AB169" i="1"/>
  <c r="AC224" i="1"/>
  <c r="AC206" i="1"/>
  <c r="AC189" i="1"/>
  <c r="AC171" i="1"/>
  <c r="AC163" i="1"/>
  <c r="AB215" i="1"/>
  <c r="AB198" i="1"/>
  <c r="AB180" i="1"/>
  <c r="AB227" i="1"/>
  <c r="AB214" i="1"/>
  <c r="AB197" i="1"/>
  <c r="AB179" i="1"/>
  <c r="AB226" i="1"/>
  <c r="AB213" i="1"/>
  <c r="AB195" i="1"/>
  <c r="AB178" i="1"/>
  <c r="AB225" i="1"/>
  <c r="AB212" i="1"/>
  <c r="AB194" i="1"/>
  <c r="AB177" i="1"/>
  <c r="AB218" i="1"/>
  <c r="AB211" i="1"/>
  <c r="AB193" i="1"/>
  <c r="AB176" i="1"/>
  <c r="AB207" i="1"/>
  <c r="AB210" i="1"/>
  <c r="AB192" i="1"/>
  <c r="AB175" i="1"/>
  <c r="AB196" i="1"/>
  <c r="AB209" i="1"/>
  <c r="AB191" i="1"/>
  <c r="AB173" i="1"/>
  <c r="AB185" i="1"/>
  <c r="AB208" i="1"/>
  <c r="AB190" i="1"/>
  <c r="AB172" i="1"/>
  <c r="AB174" i="1"/>
  <c r="AB224" i="1"/>
  <c r="AB206" i="1"/>
  <c r="AB189" i="1"/>
  <c r="AB171" i="1"/>
  <c r="AB163" i="1"/>
  <c r="AB223" i="1"/>
  <c r="AB205" i="1"/>
  <c r="AB188" i="1"/>
  <c r="AB170" i="1"/>
  <c r="AC167" i="1" l="1"/>
  <c r="AE216" i="1"/>
  <c r="AE199" i="1"/>
  <c r="AB219" i="1"/>
  <c r="AE164" i="1"/>
  <c r="AE181" i="1"/>
  <c r="AB186" i="1"/>
  <c r="AE186" i="1"/>
  <c r="R220" i="1"/>
  <c r="AE220" i="1"/>
  <c r="AB203" i="1"/>
  <c r="AE203" i="1"/>
  <c r="R202" i="1"/>
  <c r="AE202" i="1"/>
  <c r="AE165" i="1"/>
  <c r="AE200" i="1"/>
  <c r="AB168" i="1"/>
  <c r="AE168" i="1"/>
  <c r="R167" i="1"/>
  <c r="AE167" i="1"/>
  <c r="AE217" i="1"/>
  <c r="AC165" i="1"/>
  <c r="AB165" i="1"/>
  <c r="R182" i="1"/>
  <c r="AC182" i="1"/>
  <c r="AC184" i="1"/>
  <c r="R184" i="1"/>
  <c r="AB202" i="1"/>
  <c r="AB184" i="1"/>
  <c r="AC166" i="1"/>
  <c r="R166" i="1"/>
  <c r="AB200" i="1"/>
  <c r="AB217" i="1"/>
  <c r="AC199" i="1"/>
  <c r="R199" i="1"/>
  <c r="AC201" i="1"/>
  <c r="R201" i="1"/>
  <c r="AC186" i="1"/>
  <c r="R186" i="1"/>
  <c r="AC203" i="1"/>
  <c r="R203" i="1"/>
  <c r="AC221" i="1"/>
  <c r="R221" i="1"/>
  <c r="AB221" i="1"/>
  <c r="AC202" i="1"/>
  <c r="AC217" i="1"/>
  <c r="AC183" i="1"/>
  <c r="R183" i="1"/>
  <c r="AC219" i="1"/>
  <c r="R219" i="1"/>
  <c r="AC168" i="1"/>
  <c r="R168" i="1"/>
  <c r="AC200" i="1"/>
  <c r="R181" i="1"/>
  <c r="AC181" i="1"/>
  <c r="R216" i="1"/>
  <c r="AC216" i="1"/>
  <c r="AB183" i="1"/>
  <c r="AB220" i="1"/>
  <c r="AC220" i="1"/>
  <c r="AB182" i="1"/>
  <c r="AC164" i="1"/>
  <c r="R164" i="1"/>
  <c r="AB166" i="1"/>
  <c r="AB201" i="1"/>
</calcChain>
</file>

<file path=xl/sharedStrings.xml><?xml version="1.0" encoding="utf-8"?>
<sst xmlns="http://schemas.openxmlformats.org/spreadsheetml/2006/main" count="1757" uniqueCount="267">
  <si>
    <t>Name</t>
  </si>
  <si>
    <t>PWR</t>
  </si>
  <si>
    <t>J</t>
  </si>
  <si>
    <t>PhiTot</t>
  </si>
  <si>
    <t>PhiInt</t>
  </si>
  <si>
    <t>S1</t>
  </si>
  <si>
    <t>S2</t>
  </si>
  <si>
    <t>m1</t>
  </si>
  <si>
    <t>m2</t>
  </si>
  <si>
    <t>mH2</t>
  </si>
  <si>
    <t>mAzi</t>
  </si>
  <si>
    <t>d1</t>
  </si>
  <si>
    <t>d2</t>
  </si>
  <si>
    <t>u1</t>
  </si>
  <si>
    <t>u2</t>
  </si>
  <si>
    <t>Nfentes</t>
  </si>
  <si>
    <t>Chamber</t>
  </si>
  <si>
    <t>Re1</t>
  </si>
  <si>
    <t>Re2</t>
  </si>
  <si>
    <t>S1p2</t>
  </si>
  <si>
    <t>rtheta</t>
  </si>
  <si>
    <t>Xst</t>
  </si>
  <si>
    <t>Zst</t>
  </si>
  <si>
    <t>rho1</t>
  </si>
  <si>
    <t>rho2</t>
  </si>
  <si>
    <t>MW1</t>
  </si>
  <si>
    <t>MW2</t>
  </si>
  <si>
    <t>u2/u1</t>
  </si>
  <si>
    <t>DeltaU</t>
  </si>
  <si>
    <t>ALPHA</t>
  </si>
  <si>
    <t>r_utheta</t>
  </si>
  <si>
    <t>Groupe</t>
  </si>
  <si>
    <t>Type</t>
  </si>
  <si>
    <t>OH* (Y/N)</t>
  </si>
  <si>
    <t>NOx (Y/N)</t>
  </si>
  <si>
    <t>NOX(ppmv dry)</t>
  </si>
  <si>
    <t>EINOx</t>
  </si>
  <si>
    <t>Note</t>
  </si>
  <si>
    <t>D10-Db15-PW10-PHI35-PRE2-S16-S20-20230403_forme_haute</t>
  </si>
  <si>
    <t>New</t>
  </si>
  <si>
    <t>A</t>
  </si>
  <si>
    <t>I</t>
  </si>
  <si>
    <t>Y</t>
  </si>
  <si>
    <t>N</t>
  </si>
  <si>
    <t>N/A</t>
  </si>
  <si>
    <t>D10-Db15-PW10-PHI35-PRE2-S16-S2079-20230403_forme_basse</t>
  </si>
  <si>
    <t>D10-Db15-PW10-PHI35-PRE2-S16-S2079-20230403_forme_haute</t>
  </si>
  <si>
    <t>II</t>
  </si>
  <si>
    <t>D10-Db15-PW10-PHI35-PRE2-S187-S20-20230403</t>
  </si>
  <si>
    <t>FB</t>
  </si>
  <si>
    <t>D10-Db15-PW10-PHI35-PRE2-S187-S2089-20230403</t>
  </si>
  <si>
    <t>D10-Db15-PW10-PHI35-PRE4-S16-S20-20230405</t>
  </si>
  <si>
    <t>D10-Db15-PW10-PHI35-PRE4-S16-S2077-20230405</t>
  </si>
  <si>
    <t>C</t>
  </si>
  <si>
    <t>IV</t>
  </si>
  <si>
    <t>D10-Db15-PW10-PHI35-PRE4-S187-S20-20230403</t>
  </si>
  <si>
    <t>D10-Db15-PW10-PHI35-PRE4-S187-S2074-20230403</t>
  </si>
  <si>
    <t>D10-Db15-PW10-PHI35-PRE4-S187-S2089-20230403</t>
  </si>
  <si>
    <t>B</t>
  </si>
  <si>
    <t>III</t>
  </si>
  <si>
    <t>D10-Db15-PW10-PHI35-PRE6-S16-S20-20230405</t>
  </si>
  <si>
    <t>V</t>
  </si>
  <si>
    <t>D10-Db15-PW10-PHI35-PRE6-S16-S2082-20230405</t>
  </si>
  <si>
    <t>D10-Db15-PW10-PHI35-PRE6-S16-S2089-20230405</t>
  </si>
  <si>
    <t>D10-Db15-PW10-PHI35-PRE6-S187-S20-20230403</t>
  </si>
  <si>
    <t>D10-Db15-PW10-PHI35-PRE6-S187-S2084-20230403</t>
  </si>
  <si>
    <t>D10-Db15-PW10-PHI35-PRE6-S187-S2089-avechyst-20230403</t>
  </si>
  <si>
    <t>D6-Db15-PW10-PHI35-PRE2-S129-S207-20230329</t>
  </si>
  <si>
    <t>D6-Db15-PW10-PHI35-PRE2-S129-S2088-20230329</t>
  </si>
  <si>
    <t>D6-Db15-PW10-PHI35-PRE2-S16-S20-20230329</t>
  </si>
  <si>
    <t>D6-Db15-PW10-PHI35-PRE2-S16-S2084-20230329</t>
  </si>
  <si>
    <t>D6-Db15-PW10-PHI35-PRE2-S16-S2097-20230329</t>
  </si>
  <si>
    <t>D6-Db15-PW10-PHI35-PRE2-S187-S20-20230331</t>
  </si>
  <si>
    <t>D6-Db15-PW10-PHI35-PRE2-S187-S2082-20230331</t>
  </si>
  <si>
    <t>D6-Db15-PW10-PHI35-PRE2-S187-S2099-20230331</t>
  </si>
  <si>
    <t>D6-Db15-PW10-PHI35-PRE2-S1m29-S20-20230331</t>
  </si>
  <si>
    <t>D6-Db15-PW10-PHI35-PRE2-S1m29-S2081-20230331</t>
  </si>
  <si>
    <t>D6-Db15-PW10-PHI35-PRE2-S1m6-S20-20230331</t>
  </si>
  <si>
    <t>D6-Db15-PW10-PHI35-PRE2-S1m6-S210-20230331</t>
  </si>
  <si>
    <t>D6-Db15-PW10-PHI35-PRE2-S1m87-S20-20230331</t>
  </si>
  <si>
    <t>D6-Db15-PW10-PHI35-PRE2-S1m87-S2086-20230331</t>
  </si>
  <si>
    <t>D6-Db15-PW10-PHI35-PRE2-S1m87-S2102-20230331</t>
  </si>
  <si>
    <t>D6-Db15-PW10-PHI35-PRE4-S129-S20-20230329</t>
  </si>
  <si>
    <t>D6-Db15-PW10-PHI35-PRE4-S129-S2067-20230329</t>
  </si>
  <si>
    <t>D6-Db15-PW10-PHI35-PRE4-S16-S20-20230329</t>
  </si>
  <si>
    <t>D6-Db15-PW10-PHI35-PRE4-S16-S2072-20230329</t>
  </si>
  <si>
    <t>D6-Db15-PW10-PHI35-PRE4-S16-S2076-20230329</t>
  </si>
  <si>
    <t>D6-Db15-PW10-PHI35-PRE4-S187-S20-20230331</t>
  </si>
  <si>
    <t>D6-Db15-PW10-PHI35-PRE4-S187-S2076-20230331</t>
  </si>
  <si>
    <t>D6-Db15-PW10-PHI35-PRE4-S187-S2104-20230331</t>
  </si>
  <si>
    <t>D6-Db15-PW10-PHI35-PRE4-S1m29-S20-20230331</t>
  </si>
  <si>
    <t>D6-Db15-PW10-PHI35-PRE4-S1m29-S2071-20230331</t>
  </si>
  <si>
    <t>D6-Db15-PW10-PHI35-PRE4-S1m6-S20-20230331</t>
  </si>
  <si>
    <t>D6-Db15-PW10-PHI35-PRE4-S1m6-S2076-20230331</t>
  </si>
  <si>
    <t>D6-Db15-PW10-PHI35-PRE4-S1m87-S20-20230331</t>
  </si>
  <si>
    <t>D6-Db15-PW10-PHI35-PRE4-S1m87-S208-20230331</t>
  </si>
  <si>
    <t>D6-Db15-PW10-PHI35-PRE6-S129-S20-20230329</t>
  </si>
  <si>
    <t>D6-Db15-PW10-PHI35-PRE6-S129-S2064-20230329</t>
  </si>
  <si>
    <t>D6-Db15-PW10-PHI35-PRE6-S129-S2093-20230329</t>
  </si>
  <si>
    <t>D6-Db15-PW10-PHI35-PRE6-S16-S20-20230329</t>
  </si>
  <si>
    <t>D6-Db15-PW10-PHI35-PRE6-S16-S2068-20230329</t>
  </si>
  <si>
    <t>D6-Db15-PW10-PHI35-PRE6-S16-S2075-20230329</t>
  </si>
  <si>
    <t>D6-Db15-PW10-PHI35-PRE6-S187-S20-20230331</t>
  </si>
  <si>
    <t>D6-Db15-PW10-PHI35-PRE6-S187-S2069-20230331</t>
  </si>
  <si>
    <t>D6-Db15-PW10-PHI35-PRE6-S1m29-S20-20230331</t>
  </si>
  <si>
    <t>D6-Db15-PW10-PHI35-PRE6-S1m29-S2064-20230331</t>
  </si>
  <si>
    <t>D6-Db15-PW10-PHI35-PRE6-S1m6-S20-20230331</t>
  </si>
  <si>
    <t>D6-Db15-PW10-PHI35-PRE6-S1m6-S2075-20230331</t>
  </si>
  <si>
    <t>D6-Db15-PW10-PHI35-PRE6-S1m87-S20-20230331</t>
  </si>
  <si>
    <t>D6-Db15-PW10-PHI35-PRE6-S1m87-S2077-20230331</t>
  </si>
  <si>
    <t>D6-Db15-PW10-PHI35-PREinf-S1m87-S2077-20230331</t>
  </si>
  <si>
    <t>D10-Db15-PW10-PHI35-PRE2-S129-S20-20230424</t>
  </si>
  <si>
    <t>D10-Db15-PW10-PHI35-PRE2-S129-S2072-20230424</t>
  </si>
  <si>
    <t>D10-Db15-PW10-PHI35-PRE4-S129-S20-20230424</t>
  </si>
  <si>
    <t>D10-Db15-PW10-PHI35-PRE4-S129-S2081-20230424</t>
  </si>
  <si>
    <t>D10-Db15-PW10-PHI35-PRE4-S129-S2084-20230424</t>
  </si>
  <si>
    <t>D10-Db15-PW10-PHI35-PRE6-S129-S20-20230424</t>
  </si>
  <si>
    <t>D10-Db15-PW10-PHI35-PRE6-S129-S2084-20230424</t>
  </si>
  <si>
    <t>D10-Db20-PW10-PHI35-PRE2-S10-S20-20230424</t>
  </si>
  <si>
    <t>D10-Db20-PW10-PHI35-PRE2-S10-S2091-20230424</t>
  </si>
  <si>
    <t>D10-Db20-PW10-PHI35-PRE2-S10-S2121-20230424</t>
  </si>
  <si>
    <t>D10-Db20-PW10-PHI35-PRE2-S129-S20-20230424</t>
  </si>
  <si>
    <t>D10-Db20-PW10-PHI35-PRE2-S129-S2065-20230424</t>
  </si>
  <si>
    <t>D10-Db20-PW10-PHI35-PRE2-S129-S2118-20230424</t>
  </si>
  <si>
    <t>D10-Db20-PW10-PHI35-PRE2-S187-S209-20230424</t>
  </si>
  <si>
    <t>D10-Db20-PW10-PHI35-PRE3-S187-S20-20230424</t>
  </si>
  <si>
    <t>D10-Db20-PW10-PHI35-PRE4-S10-S20-20230424</t>
  </si>
  <si>
    <t>D10-Db20-PW10-PHI35-PRE4-S10-S2065-20230424</t>
  </si>
  <si>
    <t>D10-Db20-PW10-PHI35-PRE4-S10-S2102-20230424</t>
  </si>
  <si>
    <t>D10-Db20-PW10-PHI35-PRE4-S129-S20-20230424</t>
  </si>
  <si>
    <t>D10-Db20-PW10-PHI35-PRE4-S129-S2059-20230424</t>
  </si>
  <si>
    <t>D10-Db20-PW10-PHI35-PRE4-S129-S2145-20230424</t>
  </si>
  <si>
    <t>D10-Db20-PW10-PHI35-PRE4-S187-S20-20230424</t>
  </si>
  <si>
    <t>D10-Db20-PW10-PHI35-PRE4-S187-S206-20230424</t>
  </si>
  <si>
    <t>D10-Db20-PW10-PHI35-PRE4-S187-S2107-20230424</t>
  </si>
  <si>
    <t>D10-Db20-PW10-PHI35-PRE6-S10-S20-20230424</t>
  </si>
  <si>
    <t>D10-Db20-PW10-PHI35-PRE6-S10-S2062-20230424</t>
  </si>
  <si>
    <t>D10-Db20-PW10-PHI35-PRE6-S10-S2091-20230424</t>
  </si>
  <si>
    <t>D10-Db20-PW10-PHI35-PRE6-S129-S20-20230424</t>
  </si>
  <si>
    <t>D10-Db20-PW10-PHI35-PRE6-S129-S2057-20230424</t>
  </si>
  <si>
    <t>D10-Db20-PW10-PHI35-PRE6-S187-S20-20230424</t>
  </si>
  <si>
    <t>D10-Db20-PW10-PHI35-PRE6-S187-S2056-20230424</t>
  </si>
  <si>
    <t>D10-Db20-PW10-PHI35-PRE2-S16-S20-20230405</t>
  </si>
  <si>
    <t>D10-Db20-PW10-PHI35-PRE2-S16-S2077-20230405</t>
  </si>
  <si>
    <t>D10-Db20-PW10-PHI35-PRE2-S16-S2142-20230405</t>
  </si>
  <si>
    <t>D10-Db20-PW10-PHI35-PRE4-S16-S20-20230405</t>
  </si>
  <si>
    <t>D10-Db20-PW10-PHI35-PRE4-S16-S2056-20230405</t>
  </si>
  <si>
    <t>D10-Db20-PW10-PHI35-PRE6-S16-S20-20230405</t>
  </si>
  <si>
    <t>D10-Db20-PW10-PHI35-PRE6-S16-S206-20230405</t>
  </si>
  <si>
    <t>D10-PW10-PHI35-PRE2-S187-S20-20230308</t>
  </si>
  <si>
    <t>D10-PW10-PHI35-PRE2-S187-S202-20230308</t>
  </si>
  <si>
    <t>D10-PW10-PHI35-PRE2-S187-S204-20230308</t>
  </si>
  <si>
    <t>D10-PW10-PHI35-PRE2-S187-S206-20230308</t>
  </si>
  <si>
    <t>D10-Db15-PW10-PHI35-PRE2-S10-S210-20230310</t>
  </si>
  <si>
    <t>D10-Db15-PW10-PHI35-PRE2-S10-S206-20230314</t>
  </si>
  <si>
    <t>D10-Db15-PW10-PHI35-PRE2-S129-S206-20230314</t>
  </si>
  <si>
    <t>D10-Db15-PW10-PHI35-PRE2-S129-S208-20230314</t>
  </si>
  <si>
    <t>D10-Db15-PW10-PHI35-PRE4-S129-S208-20230315</t>
  </si>
  <si>
    <t>D10-Db15-PW10-PHI35-PRE6-S129-S208-20230315</t>
  </si>
  <si>
    <t>D10-Db15-PW125-PHI35-PRE2-S129-S208-20230315</t>
  </si>
  <si>
    <t>D10-Db15-PW75-PHI35-PRE2-S10-S208-20230315</t>
  </si>
  <si>
    <t>D10-Db15-PW10-PHI35-PRE4-S10-S208-20230315</t>
  </si>
  <si>
    <t>D10-Db15-PW10-PHI35-PRE6-S10-S208-20230315</t>
  </si>
  <si>
    <t>D10-Db15-PW125-PHI35-PRE2-S10-S208-20230315</t>
  </si>
  <si>
    <t>LFNO10-PHI04-PRE2-PW65-20221208</t>
  </si>
  <si>
    <t>Old</t>
  </si>
  <si>
    <t>LFNO10-PHI04-PRE2-PW15-20221208</t>
  </si>
  <si>
    <t>LFNO6-PHI04-PRE2-PW5-20221125</t>
  </si>
  <si>
    <t>LFNO6-PHI04-PRE2-PW15-20221125</t>
  </si>
  <si>
    <t>LFNO6-PHI04-PREINF-20221123</t>
  </si>
  <si>
    <t>LFNO6-PHI04-PRE6-20221124</t>
  </si>
  <si>
    <t>LFNO6-PHI04-PRE35-PW10-20221201</t>
  </si>
  <si>
    <t>LFNO6-PHI04-PRE30-PW10-20221201</t>
  </si>
  <si>
    <t>LFNO6-PHI04-PRE25-PW10-20221201</t>
  </si>
  <si>
    <t>LFNO6-PHI04-PRE225-PW10-20221205</t>
  </si>
  <si>
    <t>LFNO6-PHI04-PRE2-20221123</t>
  </si>
  <si>
    <t>LFNO6-PHI045-PREINF-20221123</t>
  </si>
  <si>
    <t>LFNO6-PHI045-PRE6-20221123</t>
  </si>
  <si>
    <t>LFNO6-PHI045-PRE2-20221123</t>
  </si>
  <si>
    <t>LFNO6-PHI035-PRE2-20221123</t>
  </si>
  <si>
    <t>LFNO6-PHI035-PREINF-20221124</t>
  </si>
  <si>
    <t>LFNO6-PHI035-PRE6-20221124</t>
  </si>
  <si>
    <t>LFNO10-PHI035-PRE2-20221124</t>
  </si>
  <si>
    <t>LFNO10-PHI04-PRE2-20221124</t>
  </si>
  <si>
    <t>LFNO10-PHI045-PRE2-20221124</t>
  </si>
  <si>
    <t>LFNO10-PHI045-PRE6-20221124</t>
  </si>
  <si>
    <t>LFNO10-PHI04-PRE6-20221124</t>
  </si>
  <si>
    <t>LFNO10-PHI035-PRE6-20221124</t>
  </si>
  <si>
    <t>D10-PW10-PHI35-PRE2-S10-S20-20230207</t>
  </si>
  <si>
    <t>D10-PW10-PHI35-PRE2-S129-S210-20230203</t>
  </si>
  <si>
    <t>D10-PW10-PHI35-PRE2-S129-S208-20230203</t>
  </si>
  <si>
    <t>D10-PW10-PHI35-PRE2-S129-S206-20230203</t>
  </si>
  <si>
    <t>D10-PW10-PHI35-PRE2-S129-S204-20230203</t>
  </si>
  <si>
    <t>D10-PW10-PHI35-PRE2-S129-S202-20230202</t>
  </si>
  <si>
    <t>D10-PW10-PHI35-PRE2-S129-S20-20230202</t>
  </si>
  <si>
    <t>D10-PW10-PHI35-PRE2-S10-S210-20230202</t>
  </si>
  <si>
    <t>D10-PW10-PHI35-PRE2-S10-S208-20230130</t>
  </si>
  <si>
    <t>D10-PW10-PHI35-PRE2-S10-S206-20230130</t>
  </si>
  <si>
    <t>D10-PW10-PHI35-PRE2-S10-S204-20230130</t>
  </si>
  <si>
    <t>D10-PW10-PHI35-PRE2-S10-S202-20230130</t>
  </si>
  <si>
    <t>NonPremixed1</t>
  </si>
  <si>
    <t>NonPremixed2</t>
  </si>
  <si>
    <t>NonPremixed3</t>
  </si>
  <si>
    <t>NonPremixed4</t>
  </si>
  <si>
    <t>NonPremixed5</t>
  </si>
  <si>
    <t>NonPremixed6</t>
  </si>
  <si>
    <t>NonPremixed7</t>
  </si>
  <si>
    <t>NonPremixed8</t>
  </si>
  <si>
    <t>NonPremixed9</t>
  </si>
  <si>
    <t>NonPremixed10</t>
  </si>
  <si>
    <t>NonPremixed11</t>
  </si>
  <si>
    <t>NonPremixed12</t>
  </si>
  <si>
    <t>NonPremixed13</t>
  </si>
  <si>
    <t>NonPremixed14</t>
  </si>
  <si>
    <t>NonPremixed15</t>
  </si>
  <si>
    <t>NonPremixed16</t>
  </si>
  <si>
    <t>NonPremixed17</t>
  </si>
  <si>
    <t>NonPremixed18</t>
  </si>
  <si>
    <t>NonPremixed19</t>
  </si>
  <si>
    <t>NonPremixed20</t>
  </si>
  <si>
    <t>NonPremixed21</t>
  </si>
  <si>
    <t>NonPremixed22</t>
  </si>
  <si>
    <t>NonPremixed23</t>
  </si>
  <si>
    <t>NonPremixed24</t>
  </si>
  <si>
    <t>NonPremixed25</t>
  </si>
  <si>
    <t>NonPremixed26</t>
  </si>
  <si>
    <t>NonPremixed27</t>
  </si>
  <si>
    <t>NonPremixed28</t>
  </si>
  <si>
    <t>NonPremixed29</t>
  </si>
  <si>
    <t>NonPremixed30</t>
  </si>
  <si>
    <t>NonPremixed31</t>
  </si>
  <si>
    <t>NonPremixed32</t>
  </si>
  <si>
    <t>NonPremixed33</t>
  </si>
  <si>
    <t>NonPremixed34</t>
  </si>
  <si>
    <t>NonPremixed35</t>
  </si>
  <si>
    <t>NonPremixed36</t>
  </si>
  <si>
    <t>NonPremixed37</t>
  </si>
  <si>
    <t>NonPremixed38</t>
  </si>
  <si>
    <t>NonPremixed39</t>
  </si>
  <si>
    <t>NonPremixed40</t>
  </si>
  <si>
    <t>NonPremixed41</t>
  </si>
  <si>
    <t>NonPremixed42</t>
  </si>
  <si>
    <t>NonPremixed43</t>
  </si>
  <si>
    <t>NonPremixed44</t>
  </si>
  <si>
    <t>NonPremixed45</t>
  </si>
  <si>
    <t>NonPremixed46</t>
  </si>
  <si>
    <t>NonPremixed47</t>
  </si>
  <si>
    <t>NonPremixed48</t>
  </si>
  <si>
    <t>NonPremixed49</t>
  </si>
  <si>
    <t>NonPremixed50</t>
  </si>
  <si>
    <t>NonPremixed51</t>
  </si>
  <si>
    <t>NonPremixed52</t>
  </si>
  <si>
    <t>NonPremixed53</t>
  </si>
  <si>
    <t>NonPremixed54</t>
  </si>
  <si>
    <t>NonPremixed55</t>
  </si>
  <si>
    <t>NonPremixed56</t>
  </si>
  <si>
    <t>NonPremixed57</t>
  </si>
  <si>
    <t>NonPremixed58</t>
  </si>
  <si>
    <t>NonPremixed59</t>
  </si>
  <si>
    <t>NonPremixed60</t>
  </si>
  <si>
    <t>NonPremixed61</t>
  </si>
  <si>
    <t>NonPremixed62</t>
  </si>
  <si>
    <t>NonPremixed63</t>
  </si>
  <si>
    <t>NonPremixed64</t>
  </si>
  <si>
    <t>NonPremixed65</t>
  </si>
  <si>
    <t>NO(ppmv dry)</t>
  </si>
  <si>
    <t>Attache (I/O)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</si>
</sst>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5" borderId="0" xfId="0" applyFill="1"/>
    <xf numFmtId="11" fontId="0" fillId="0" borderId="0" xfId="0" applyNumberFormat="1"/>
    <xf numFmtId="0" fontId="2" fillId="2" borderId="0" xfId="1"/>
    <xf numFmtId="0" fontId="2" fillId="4" borderId="0" xfId="3"/>
    <xf numFmtId="0" fontId="2" fillId="3" borderId="0" xfId="2"/>
    <xf numFmtId="0" fontId="2" fillId="6" borderId="0" xfId="3" applyFill="1"/>
    <xf numFmtId="0" fontId="0" fillId="6" borderId="0" xfId="0" applyFill="1"/>
    <xf numFmtId="0" fontId="0" fillId="0" borderId="0" xfId="0" applyAlignment="1">
      <alignment vertical="center" wrapText="1"/>
    </xf>
  </cellXfs>
  <cellStyles count="4">
    <cellStyle name="Accent2" xfId="1" builtinId="33"/>
    <cellStyle name="Accent4" xfId="2" builtinId="41"/>
    <cellStyle name="Accent6" xfId="3" builtinId="49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  <dxf>
      <numFmt numFmtId="15" formatCode="0.00E+00"/>
    </dxf>
    <dxf>
      <fill>
        <patternFill patternType="none">
          <fgColor indexed="64"/>
          <bgColor indexed="65"/>
        </patternFill>
      </fill>
    </dxf>
    <dxf>
      <numFmt numFmtId="15" formatCode="0.00E+00"/>
      <fill>
        <patternFill patternType="none">
          <fgColor indexed="64"/>
          <bgColor indexed="65"/>
        </patternFill>
      </fill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</dxfs>
  <tableStyles count="1" defaultTableStyle="TableStyleMedium2" defaultPivotStyle="PivotStyleLight16">
    <tableStyle name="Invisible" pivot="0" table="0" count="0" xr9:uid="{84CD6C52-A239-48F8-93C2-47CF125370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D2C1E-08CD-E84C-AE9C-2B0D09FE178F}" name="Tableau1" displayName="Tableau1" ref="A1:AN227" totalsRowShown="0">
  <autoFilter ref="A1:AN227" xr:uid="{C15D2C1E-08CD-E84C-AE9C-2B0D09FE178F}"/>
  <sortState xmlns:xlrd2="http://schemas.microsoft.com/office/spreadsheetml/2017/richdata2" ref="A2:AN227">
    <sortCondition ref="A1:A227"/>
  </sortState>
  <tableColumns count="40">
    <tableColumn id="1" xr3:uid="{F4C674AF-7B55-A64F-B145-464B642762F4}" name="Name"/>
    <tableColumn id="2" xr3:uid="{CFC5CD66-CAAA-1040-9E12-CB11614C0063}" name="PWR"/>
    <tableColumn id="3" xr3:uid="{72C55561-C452-B945-8DE9-42D846DF1D5A}" name="J"/>
    <tableColumn id="16" xr3:uid="{F7DEEB37-14ED-F64C-A0C8-CC135C021860}" name="PhiTot"/>
    <tableColumn id="17" xr3:uid="{1F2A553E-8F4B-1246-A645-13404A8ADDF2}" name="PhiInt"/>
    <tableColumn id="4" xr3:uid="{56131B8D-5A0A-D24C-B9C3-EBCC7FEEAB51}" name="S1"/>
    <tableColumn id="5" xr3:uid="{54C6C48F-9301-7E45-8BC1-D8FD47DCC060}" name="S2"/>
    <tableColumn id="8" xr3:uid="{93EFB327-2455-A049-8E43-CA8E4F969579}" name="m1" dataDxfId="16"/>
    <tableColumn id="9" xr3:uid="{5C745F01-0109-3042-815F-C1FF22666090}" name="m2"/>
    <tableColumn id="10" xr3:uid="{B660D59C-C568-1C44-A87C-DDD24298620E}" name="mH2" dataDxfId="15"/>
    <tableColumn id="11" xr3:uid="{CC4947C4-CF23-5441-9635-5AA22A3CF781}" name="mAzi" dataDxfId="14"/>
    <tableColumn id="22" xr3:uid="{3DCA1C87-F1C9-DF4B-99EB-11E2615D3959}" name="d1" dataDxfId="13"/>
    <tableColumn id="23" xr3:uid="{A4D6C5AD-C664-564F-87CA-26F550622D27}" name="d2"/>
    <tableColumn id="12" xr3:uid="{BF0155B8-DEEB-2347-AD54-669B13A673B4}" name="u1" dataDxfId="12"/>
    <tableColumn id="13" xr3:uid="{FB8F52D1-9D55-B14A-A785-37B4BEBBA87B}" name="u2" dataDxfId="11"/>
    <tableColumn id="31" xr3:uid="{88FC7A3A-5014-5F47-A0FC-9B6DA0BDC44B}" name="Nfentes" dataDxfId="10"/>
    <tableColumn id="32" xr3:uid="{8D071BC9-178C-9942-9679-86D0B76EAF6E}" name="Chamber" dataDxfId="9"/>
    <tableColumn id="14" xr3:uid="{EA2A7772-9B68-7D46-8F83-C3CD96265FBB}" name="Re1" dataDxfId="8"/>
    <tableColumn id="15" xr3:uid="{63E5F895-A873-3F4C-B9B8-5A6F2CFC8185}" name="Re2" dataDxfId="7"/>
    <tableColumn id="6" xr3:uid="{32958FA2-3F37-5F43-A689-7A20A318EB62}" name="S1p2" dataDxfId="6"/>
    <tableColumn id="7" xr3:uid="{5AD69854-EF12-1B4D-A749-3A4ED00F13EA}" name="rtheta"/>
    <tableColumn id="18" xr3:uid="{BCDE12A7-B517-8E42-B0B2-EAF555C82660}" name="Xst"/>
    <tableColumn id="19" xr3:uid="{822ACA2F-D2D5-7D43-8B58-063FF46100D7}" name="Zst"/>
    <tableColumn id="20" xr3:uid="{100176F7-2390-C04C-A178-6BDD27C7E9E9}" name="rho1"/>
    <tableColumn id="21" xr3:uid="{E0B47E65-9C42-8040-B1C1-C5AFCD3DBA9C}" name="rho2"/>
    <tableColumn id="24" xr3:uid="{2DAD0E09-772F-EB49-9386-B2F1B20852C9}" name="MW1"/>
    <tableColumn id="25" xr3:uid="{D4F302B2-4477-0A4C-9B47-39865ECEA041}" name="MW2"/>
    <tableColumn id="36" xr3:uid="{18DB3C64-52D5-8B4C-8C21-70F62577474B}" name="u2/u1" dataDxfId="5">
      <calculatedColumnFormula>Tableau1[[#This Row],[u2]]/Tableau1[[#This Row],[u1]]</calculatedColumnFormula>
    </tableColumn>
    <tableColumn id="37" xr3:uid="{5AFF8337-0C7C-5D4D-9125-BA0E0628CF27}" name="DeltaU" dataDxfId="4">
      <calculatedColumnFormula>ABS(Tableau1[[#This Row],[u2]]-Tableau1[[#This Row],[u1]])</calculatedColumnFormula>
    </tableColumn>
    <tableColumn id="27" xr3:uid="{107856C9-C77D-EE44-965B-02380FFADECE}" name="ALPHA" dataDxfId="3">
      <calculatedColumnFormula>(Tableau1[[#This Row],[d1]]+0.002)/Tableau1[[#This Row],[d2]]</calculatedColumnFormula>
    </tableColumn>
    <tableColumn id="26" xr3:uid="{77848C8F-4EBA-3349-B43E-3EB3FF7D76A9}" name="r_utheta" dataDxfId="2">
      <calculatedColumnFormula>Tableau1[[#This Row],[S2]]*Tableau1[[#This Row],[u2]]/(Tableau1[[#This Row],[S1]]*Tableau1[[#This Row],[u1]])*(1-Tableau1[[#This Row],[ALPHA]]^3)/(1-Tableau1[[#This Row],[ALPHA]]^4)</calculatedColumnFormula>
    </tableColumn>
    <tableColumn id="28" xr3:uid="{1FE38245-13ED-644A-B1C2-911FA93EDE2C}" name="Attache (I/O)" dataDxfId="1"/>
    <tableColumn id="29" xr3:uid="{4525C67E-4F78-EF4E-A5F3-784701755592}" name="Groupe" dataDxfId="0"/>
    <tableColumn id="30" xr3:uid="{7BAADA73-7367-8D43-8D45-BFE25AD23E66}" name="Type"/>
    <tableColumn id="33" xr3:uid="{4FF6F3E2-D3AA-7B41-B9D7-727F98C58B63}" name="OH* (Y/N)"/>
    <tableColumn id="34" xr3:uid="{84258D0A-9D02-2E48-A36C-5D2F33BF942E}" name="NOx (Y/N)"/>
    <tableColumn id="40" xr3:uid="{36735DD6-6FF4-FE4A-95F4-6B0F8A973F91}" name="NO(ppmv dry)"/>
    <tableColumn id="38" xr3:uid="{2ACD9403-B75D-DE49-ADD5-DBE488A6E8BD}" name="NOX(ppmv dry)"/>
    <tableColumn id="39" xr3:uid="{BB710010-087A-A647-88EF-936896F41795}" name="EINOx"/>
    <tableColumn id="35" xr3:uid="{2847914C-AB4E-7246-8AE0-AFE96862B2E5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E8F1-2585-C441-BD18-D8A481842EF0}">
  <dimension ref="A1:AN227"/>
  <sheetViews>
    <sheetView tabSelected="1" topLeftCell="AA1" zoomScale="80" workbookViewId="0">
      <selection activeCell="AF2" sqref="AF2"/>
    </sheetView>
  </sheetViews>
  <sheetFormatPr defaultColWidth="11" defaultRowHeight="15.75" x14ac:dyDescent="0.25"/>
  <cols>
    <col min="1" max="1" width="55.5" customWidth="1"/>
    <col min="2" max="9" width="11" bestFit="1" customWidth="1"/>
    <col min="10" max="10" width="12.25" bestFit="1" customWidth="1"/>
    <col min="11" max="16" width="11" bestFit="1" customWidth="1"/>
    <col min="18" max="26" width="11" bestFit="1" customWidth="1"/>
    <col min="32" max="33" width="12.25" customWidth="1"/>
    <col min="37" max="37" width="17.5" customWidth="1"/>
    <col min="38" max="38" width="19.75" customWidth="1"/>
    <col min="39" max="39" width="11.25" customWidth="1"/>
  </cols>
  <sheetData>
    <row r="1" spans="1:4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7" t="s">
        <v>30</v>
      </c>
      <c r="AF1" t="s">
        <v>266</v>
      </c>
      <c r="AG1" s="8" t="s">
        <v>31</v>
      </c>
      <c r="AH1" t="s">
        <v>32</v>
      </c>
      <c r="AI1" s="6" t="s">
        <v>33</v>
      </c>
      <c r="AJ1" s="6" t="s">
        <v>34</v>
      </c>
      <c r="AK1" t="s">
        <v>265</v>
      </c>
      <c r="AL1" t="s">
        <v>35</v>
      </c>
      <c r="AM1" t="s">
        <v>36</v>
      </c>
      <c r="AN1" t="s">
        <v>37</v>
      </c>
    </row>
    <row r="2" spans="1:40" x14ac:dyDescent="0.25">
      <c r="A2" t="s">
        <v>154</v>
      </c>
      <c r="B2">
        <v>10.061262941287735</v>
      </c>
      <c r="C2">
        <v>17.456198363723171</v>
      </c>
      <c r="D2">
        <v>0.34994953298355885</v>
      </c>
      <c r="E2">
        <v>2.0035267991275361</v>
      </c>
      <c r="F2">
        <v>0</v>
      </c>
      <c r="G2">
        <v>0.59564814398723565</v>
      </c>
      <c r="H2">
        <v>1.5139862631862958E-3</v>
      </c>
      <c r="I2">
        <v>6.7575593519210806E-3</v>
      </c>
      <c r="J2">
        <v>8.3871815115769719E-5</v>
      </c>
      <c r="L2">
        <v>0.01</v>
      </c>
      <c r="M2">
        <v>1.4999999999999999E-2</v>
      </c>
      <c r="N2">
        <v>28.429068582639353</v>
      </c>
      <c r="O2">
        <v>90.059469490484872</v>
      </c>
      <c r="P2">
        <v>2</v>
      </c>
      <c r="Q2" t="s">
        <v>39</v>
      </c>
      <c r="R2">
        <v>10901.199625285928</v>
      </c>
      <c r="S2">
        <v>17339.593846990367</v>
      </c>
      <c r="T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0.55630422043845706</v>
      </c>
      <c r="U2" t="e">
        <f>Tableau1[[#This Row],[S2]]/Tableau1[[#This Row],[S1]]*SQRT(Tableau1[[#This Row],[rho1]]/Tableau1[[#This Row],[rho2]])*Tableau1[[#This Row],[J]]^(1/2)*Tableau1[[#This Row],[d2]]/Tableau1[[#This Row],[d1]]</f>
        <v>#DIV/0!</v>
      </c>
      <c r="V2">
        <v>0.4789278018165245</v>
      </c>
      <c r="W2">
        <v>0.34459016439711754</v>
      </c>
      <c r="X2">
        <v>0.67806202474454935</v>
      </c>
      <c r="Y2">
        <v>1.1794664292299073</v>
      </c>
      <c r="Z2">
        <v>16.579792615548016</v>
      </c>
      <c r="AA2">
        <v>28.84</v>
      </c>
      <c r="AB2">
        <f>Tableau1[[#This Row],[u2]]/Tableau1[[#This Row],[u1]]</f>
        <v>3.1678656382531321</v>
      </c>
      <c r="AC2">
        <f>ABS(Tableau1[[#This Row],[u2]]-Tableau1[[#This Row],[u1]])</f>
        <v>61.630400907845519</v>
      </c>
      <c r="AD2">
        <f>(Tableau1[[#This Row],[d1]]+0.002)/Tableau1[[#This Row],[d2]]</f>
        <v>0.8</v>
      </c>
      <c r="AE2" t="e">
        <f>Tableau1[[#This Row],[S2]]*Tableau1[[#This Row],[u2]]/(Tableau1[[#This Row],[S1]]*Tableau1[[#This Row],[u1]])*(1-Tableau1[[#This Row],[ALPHA]]^3)/(1-Tableau1[[#This Row],[ALPHA]]^4)</f>
        <v>#DIV/0!</v>
      </c>
      <c r="AF2" s="1">
        <v>1</v>
      </c>
      <c r="AG2" s="1" t="s">
        <v>40</v>
      </c>
      <c r="AH2" s="1" t="s">
        <v>41</v>
      </c>
      <c r="AI2" t="s">
        <v>42</v>
      </c>
      <c r="AJ2" t="s">
        <v>42</v>
      </c>
      <c r="AK2" t="s">
        <v>44</v>
      </c>
      <c r="AL2">
        <v>6.2</v>
      </c>
      <c r="AM2">
        <v>0.89443854599256656</v>
      </c>
    </row>
    <row r="3" spans="1:40" x14ac:dyDescent="0.25">
      <c r="A3" t="s">
        <v>153</v>
      </c>
      <c r="B3">
        <v>9.9994070746939201</v>
      </c>
      <c r="C3">
        <v>17.464746166178475</v>
      </c>
      <c r="D3">
        <v>0.35055614332240687</v>
      </c>
      <c r="E3">
        <v>2.0084475228514722</v>
      </c>
      <c r="F3">
        <v>0</v>
      </c>
      <c r="G3">
        <v>0.84720526970193033</v>
      </c>
      <c r="H3">
        <v>1.5011961339652458E-3</v>
      </c>
      <c r="I3">
        <v>6.7054156255722044E-3</v>
      </c>
      <c r="J3">
        <v>8.3356177681676561E-5</v>
      </c>
      <c r="L3">
        <v>0.01</v>
      </c>
      <c r="M3">
        <v>1.4999999999999999E-2</v>
      </c>
      <c r="N3">
        <v>28.21669772071116</v>
      </c>
      <c r="O3">
        <v>89.364538660036175</v>
      </c>
      <c r="P3">
        <v>2</v>
      </c>
      <c r="Q3" t="s">
        <v>39</v>
      </c>
      <c r="R3">
        <v>10810.45116564632</v>
      </c>
      <c r="S3">
        <v>17205.795386707356</v>
      </c>
      <c r="T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0.79127100238281478</v>
      </c>
      <c r="U3" t="e">
        <f>Tableau1[[#This Row],[S2]]/Tableau1[[#This Row],[S1]]*SQRT(Tableau1[[#This Row],[rho1]]/Tableau1[[#This Row],[rho2]])*Tableau1[[#This Row],[J]]^(1/2)*Tableau1[[#This Row],[d2]]/Tableau1[[#This Row],[d1]]</f>
        <v>#DIV/0!</v>
      </c>
      <c r="V3">
        <v>0.47859556637524786</v>
      </c>
      <c r="W3">
        <v>0.34406707048681862</v>
      </c>
      <c r="X3">
        <v>0.67739403848280044</v>
      </c>
      <c r="Y3">
        <v>1.1794664292299075</v>
      </c>
      <c r="Z3">
        <v>16.5634591928143</v>
      </c>
      <c r="AA3">
        <v>28.840000000000003</v>
      </c>
      <c r="AB3">
        <f>Tableau1[[#This Row],[u2]]/Tableau1[[#This Row],[u1]]</f>
        <v>3.1670799873382163</v>
      </c>
      <c r="AC3">
        <f>ABS(Tableau1[[#This Row],[u2]]-Tableau1[[#This Row],[u1]])</f>
        <v>61.147840939325015</v>
      </c>
      <c r="AD3">
        <f>(Tableau1[[#This Row],[d1]]+0.002)/Tableau1[[#This Row],[d2]]</f>
        <v>0.8</v>
      </c>
      <c r="AE3" t="e">
        <f>Tableau1[[#This Row],[S2]]*Tableau1[[#This Row],[u2]]/(Tableau1[[#This Row],[S1]]*Tableau1[[#This Row],[u1]])*(1-Tableau1[[#This Row],[ALPHA]]^3)/(1-Tableau1[[#This Row],[ALPHA]]^4)</f>
        <v>#DIV/0!</v>
      </c>
      <c r="AF3" s="1">
        <v>1</v>
      </c>
      <c r="AG3" s="1" t="s">
        <v>40</v>
      </c>
      <c r="AH3" s="1" t="s">
        <v>47</v>
      </c>
      <c r="AI3" t="s">
        <v>42</v>
      </c>
      <c r="AJ3" t="s">
        <v>42</v>
      </c>
      <c r="AK3" t="s">
        <v>44</v>
      </c>
      <c r="AL3">
        <v>6.25</v>
      </c>
      <c r="AM3">
        <v>0.89996778396962296</v>
      </c>
    </row>
    <row r="4" spans="1:40" x14ac:dyDescent="0.25">
      <c r="A4" t="s">
        <v>111</v>
      </c>
      <c r="B4">
        <v>10.041785142542277</v>
      </c>
      <c r="C4">
        <v>17.554141317663127</v>
      </c>
      <c r="D4">
        <v>0.35003579600872747</v>
      </c>
      <c r="E4">
        <v>2.0100339148327016</v>
      </c>
      <c r="F4">
        <v>0.28867513459481287</v>
      </c>
      <c r="G4">
        <v>0</v>
      </c>
      <c r="H4">
        <v>1.5064345369837165E-3</v>
      </c>
      <c r="I4">
        <v>6.7470841598510738E-3</v>
      </c>
      <c r="J4">
        <v>8.3709446003186715E-5</v>
      </c>
      <c r="K4">
        <v>0</v>
      </c>
      <c r="L4">
        <v>0.01</v>
      </c>
      <c r="M4">
        <v>1.4999999999999999E-2</v>
      </c>
      <c r="N4">
        <v>28.324150753817985</v>
      </c>
      <c r="O4">
        <v>89.919864317743404</v>
      </c>
      <c r="P4">
        <v>2</v>
      </c>
      <c r="Q4" t="s">
        <v>39</v>
      </c>
      <c r="R4">
        <v>10848.609277423882</v>
      </c>
      <c r="S4">
        <v>17312.714974530081</v>
      </c>
      <c r="T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1.2645504308047171E-2</v>
      </c>
      <c r="U4">
        <f>Tableau1[[#This Row],[S2]]/Tableau1[[#This Row],[S1]]*SQRT(Tableau1[[#This Row],[rho1]]/Tableau1[[#This Row],[rho2]])*Tableau1[[#This Row],[J]]^(1/2)*Tableau1[[#This Row],[d2]]/Tableau1[[#This Row],[d1]]</f>
        <v>0</v>
      </c>
      <c r="V4">
        <v>0.47848871378285829</v>
      </c>
      <c r="W4">
        <v>0.34389879888183927</v>
      </c>
      <c r="X4">
        <v>0.67717900554668053</v>
      </c>
      <c r="Y4">
        <v>1.1794664292299073</v>
      </c>
      <c r="Z4">
        <v>16.558201264547748</v>
      </c>
      <c r="AA4">
        <v>28.84</v>
      </c>
      <c r="AB4">
        <f>Tableau1[[#This Row],[u2]]/Tableau1[[#This Row],[u1]]</f>
        <v>3.1746711525189348</v>
      </c>
      <c r="AC4">
        <f>ABS(Tableau1[[#This Row],[u2]]-Tableau1[[#This Row],[u1]])</f>
        <v>61.595713563925415</v>
      </c>
      <c r="AD4">
        <f>(Tableau1[[#This Row],[d1]]+0.002)/Tableau1[[#This Row],[d2]]</f>
        <v>0.8</v>
      </c>
      <c r="AE4">
        <f>Tableau1[[#This Row],[S2]]*Tableau1[[#This Row],[u2]]/(Tableau1[[#This Row],[S1]]*Tableau1[[#This Row],[u1]])*(1-Tableau1[[#This Row],[ALPHA]]^3)/(1-Tableau1[[#This Row],[ALPHA]]^4)</f>
        <v>0</v>
      </c>
      <c r="AF4">
        <v>1</v>
      </c>
      <c r="AG4" t="s">
        <v>40</v>
      </c>
      <c r="AH4" t="s">
        <v>41</v>
      </c>
      <c r="AI4" t="s">
        <v>42</v>
      </c>
      <c r="AJ4" t="s">
        <v>43</v>
      </c>
      <c r="AK4" t="s">
        <v>44</v>
      </c>
      <c r="AL4" t="s">
        <v>44</v>
      </c>
      <c r="AM4" t="s">
        <v>44</v>
      </c>
    </row>
    <row r="5" spans="1:40" x14ac:dyDescent="0.25">
      <c r="A5" t="s">
        <v>111</v>
      </c>
      <c r="B5">
        <v>10.046533177378732</v>
      </c>
      <c r="C5">
        <v>17.55283434239076</v>
      </c>
      <c r="D5">
        <v>0.35011221682911459</v>
      </c>
      <c r="E5">
        <v>2.0105123750063751</v>
      </c>
      <c r="F5">
        <v>0.28867513459481287</v>
      </c>
      <c r="G5">
        <v>0</v>
      </c>
      <c r="H5">
        <v>1.5068080819587472E-3</v>
      </c>
      <c r="I5">
        <v>6.7488289976120001E-3</v>
      </c>
      <c r="J5">
        <v>8.3749026153540624E-5</v>
      </c>
      <c r="K5">
        <v>0</v>
      </c>
      <c r="L5">
        <v>0.01</v>
      </c>
      <c r="M5">
        <v>1.4999999999999999E-2</v>
      </c>
      <c r="N5">
        <v>28.33388649424618</v>
      </c>
      <c r="O5">
        <v>89.943118151696211</v>
      </c>
      <c r="P5">
        <v>2</v>
      </c>
      <c r="Q5" t="s">
        <v>39</v>
      </c>
      <c r="R5">
        <v>10851.43067071921</v>
      </c>
      <c r="S5">
        <v>17317.1921498722</v>
      </c>
      <c r="T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1.2646384012501408E-2</v>
      </c>
      <c r="U5">
        <f>Tableau1[[#This Row],[S2]]/Tableau1[[#This Row],[S1]]*SQRT(Tableau1[[#This Row],[rho1]]/Tableau1[[#This Row],[rho2]])*Tableau1[[#This Row],[J]]^(1/2)*Tableau1[[#This Row],[d2]]/Tableau1[[#This Row],[d1]]</f>
        <v>0</v>
      </c>
      <c r="V5">
        <v>0.47845651126000399</v>
      </c>
      <c r="W5">
        <v>0.34384808290079222</v>
      </c>
      <c r="X5">
        <v>0.67711418151760361</v>
      </c>
      <c r="Y5">
        <v>1.1794664292299075</v>
      </c>
      <c r="Z5">
        <v>16.556616204598395</v>
      </c>
      <c r="AA5">
        <v>28.840000000000003</v>
      </c>
      <c r="AB5">
        <f>Tableau1[[#This Row],[u2]]/Tableau1[[#This Row],[u1]]</f>
        <v>3.1744010187222691</v>
      </c>
      <c r="AC5">
        <f>ABS(Tableau1[[#This Row],[u2]]-Tableau1[[#This Row],[u1]])</f>
        <v>61.609231657450032</v>
      </c>
      <c r="AD5">
        <f>(Tableau1[[#This Row],[d1]]+0.002)/Tableau1[[#This Row],[d2]]</f>
        <v>0.8</v>
      </c>
      <c r="AE5">
        <f>Tableau1[[#This Row],[S2]]*Tableau1[[#This Row],[u2]]/(Tableau1[[#This Row],[S1]]*Tableau1[[#This Row],[u1]])*(1-Tableau1[[#This Row],[ALPHA]]^3)/(1-Tableau1[[#This Row],[ALPHA]]^4)</f>
        <v>0</v>
      </c>
      <c r="AF5">
        <v>1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44</v>
      </c>
      <c r="AM5" t="s">
        <v>44</v>
      </c>
    </row>
    <row r="6" spans="1:40" x14ac:dyDescent="0.25">
      <c r="A6" t="s">
        <v>155</v>
      </c>
      <c r="B6">
        <v>9.9978243964151048</v>
      </c>
      <c r="C6">
        <v>17.288524271318742</v>
      </c>
      <c r="D6">
        <v>0.35045136135314864</v>
      </c>
      <c r="E6">
        <v>1.9970658593047352</v>
      </c>
      <c r="F6">
        <v>0.28867513459481287</v>
      </c>
      <c r="G6">
        <v>0.60015472383243673</v>
      </c>
      <c r="H6">
        <v>1.5090377932581863E-3</v>
      </c>
      <c r="I6">
        <v>6.6987034463882461E-3</v>
      </c>
      <c r="J6">
        <v>8.3342984298225272E-5</v>
      </c>
      <c r="L6">
        <v>0.01</v>
      </c>
      <c r="M6">
        <v>1.4999999999999999E-2</v>
      </c>
      <c r="N6">
        <v>28.299447699099048</v>
      </c>
      <c r="O6">
        <v>89.2750839819562</v>
      </c>
      <c r="P6">
        <v>2</v>
      </c>
      <c r="Q6" t="s">
        <v>39</v>
      </c>
      <c r="R6">
        <v>10863.795418190344</v>
      </c>
      <c r="S6">
        <v>17188.572236333544</v>
      </c>
      <c r="T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0.57298112615453756</v>
      </c>
      <c r="U6">
        <f>Tableau1[[#This Row],[S2]]/Tableau1[[#This Row],[S1]]*SQRT(Tableau1[[#This Row],[rho1]]/Tableau1[[#This Row],[rho2]])*Tableau1[[#This Row],[J]]^(1/2)*Tableau1[[#This Row],[d2]]/Tableau1[[#This Row],[d1]]</f>
        <v>9.8377870719629588</v>
      </c>
      <c r="V6">
        <v>0.47936586695400063</v>
      </c>
      <c r="W6">
        <v>0.34527962729507117</v>
      </c>
      <c r="X6">
        <v>0.67894137486555162</v>
      </c>
      <c r="Y6">
        <v>1.1794664292299073</v>
      </c>
      <c r="Z6">
        <v>16.601294251254817</v>
      </c>
      <c r="AA6">
        <v>28.84</v>
      </c>
      <c r="AB6">
        <f>Tableau1[[#This Row],[u2]]/Tableau1[[#This Row],[u1]]</f>
        <v>3.1546581732334795</v>
      </c>
      <c r="AC6">
        <f>ABS(Tableau1[[#This Row],[u2]]-Tableau1[[#This Row],[u1]])</f>
        <v>60.975636282857153</v>
      </c>
      <c r="AD6">
        <f>(Tableau1[[#This Row],[d1]]+0.002)/Tableau1[[#This Row],[d2]]</f>
        <v>0.8</v>
      </c>
      <c r="AE6">
        <f>Tableau1[[#This Row],[S2]]*Tableau1[[#This Row],[u2]]/(Tableau1[[#This Row],[S1]]*Tableau1[[#This Row],[u1]])*(1-Tableau1[[#This Row],[ALPHA]]^3)/(1-Tableau1[[#This Row],[ALPHA]]^4)</f>
        <v>5.4210028129154528</v>
      </c>
      <c r="AF6" s="1">
        <v>1</v>
      </c>
      <c r="AG6" s="1" t="s">
        <v>40</v>
      </c>
      <c r="AH6" s="1" t="s">
        <v>41</v>
      </c>
      <c r="AI6" t="s">
        <v>42</v>
      </c>
      <c r="AJ6" t="s">
        <v>42</v>
      </c>
      <c r="AK6" t="s">
        <v>44</v>
      </c>
      <c r="AL6">
        <v>6.55</v>
      </c>
      <c r="AM6">
        <v>0.9434706424900432</v>
      </c>
    </row>
    <row r="7" spans="1:40" x14ac:dyDescent="0.25">
      <c r="A7" t="s">
        <v>112</v>
      </c>
      <c r="B7">
        <v>10.045830399659259</v>
      </c>
      <c r="C7">
        <v>17.693119273870536</v>
      </c>
      <c r="D7">
        <v>0.34901848825308268</v>
      </c>
      <c r="E7">
        <v>2.0109191674027946</v>
      </c>
      <c r="F7">
        <v>0.28867513459481287</v>
      </c>
      <c r="G7">
        <v>0.72173852325742938</v>
      </c>
      <c r="H7">
        <v>1.5064148243283154E-3</v>
      </c>
      <c r="I7">
        <v>6.7742514276504517E-3</v>
      </c>
      <c r="J7">
        <v>8.3743167719733732E-5</v>
      </c>
      <c r="K7">
        <v>5.4768977594375611E-3</v>
      </c>
      <c r="L7">
        <v>0.01</v>
      </c>
      <c r="M7">
        <v>1.4999999999999999E-2</v>
      </c>
      <c r="N7">
        <v>28.328797088190285</v>
      </c>
      <c r="O7">
        <v>90.281928429666038</v>
      </c>
      <c r="P7">
        <v>2</v>
      </c>
      <c r="Q7" t="s">
        <v>39</v>
      </c>
      <c r="R7">
        <v>10848.710199013249</v>
      </c>
      <c r="S7">
        <v>17382.424963749731</v>
      </c>
      <c r="T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0.68721541937882691</v>
      </c>
      <c r="U7">
        <f>Tableau1[[#This Row],[S2]]/Tableau1[[#This Row],[S1]]*SQRT(Tableau1[[#This Row],[rho1]]/Tableau1[[#This Row],[rho2]])*Tableau1[[#This Row],[J]]^(1/2)*Tableau1[[#This Row],[d2]]/Tableau1[[#This Row],[d1]]</f>
        <v>11.951831511485585</v>
      </c>
      <c r="V7">
        <v>0.47842914122778302</v>
      </c>
      <c r="W7">
        <v>0.3438049764034587</v>
      </c>
      <c r="X7">
        <v>0.67705907848437086</v>
      </c>
      <c r="Y7">
        <v>1.1794664292299071</v>
      </c>
      <c r="Z7">
        <v>16.55526883985867</v>
      </c>
      <c r="AA7">
        <v>28.839999999999996</v>
      </c>
      <c r="AB7">
        <f>Tableau1[[#This Row],[u2]]/Tableau1[[#This Row],[u1]]</f>
        <v>3.1869312399185064</v>
      </c>
      <c r="AC7">
        <f>ABS(Tableau1[[#This Row],[u2]]-Tableau1[[#This Row],[u1]])</f>
        <v>61.953131341475753</v>
      </c>
      <c r="AD7">
        <f>(Tableau1[[#This Row],[d1]]+0.002)/Tableau1[[#This Row],[d2]]</f>
        <v>0.8</v>
      </c>
      <c r="AE7">
        <f>Tableau1[[#This Row],[S2]]*Tableau1[[#This Row],[u2]]/(Tableau1[[#This Row],[S1]]*Tableau1[[#This Row],[u1]])*(1-Tableau1[[#This Row],[ALPHA]]^3)/(1-Tableau1[[#This Row],[ALPHA]]^4)</f>
        <v>6.5859234164464375</v>
      </c>
      <c r="AF7">
        <v>1</v>
      </c>
      <c r="AG7" t="s">
        <v>40</v>
      </c>
      <c r="AH7" t="s">
        <v>47</v>
      </c>
      <c r="AI7" t="s">
        <v>42</v>
      </c>
      <c r="AJ7" t="s">
        <v>43</v>
      </c>
      <c r="AK7" t="s">
        <v>44</v>
      </c>
      <c r="AL7" t="s">
        <v>44</v>
      </c>
      <c r="AM7" t="s">
        <v>44</v>
      </c>
    </row>
    <row r="8" spans="1:40" x14ac:dyDescent="0.25">
      <c r="A8" t="s">
        <v>156</v>
      </c>
      <c r="B8">
        <v>9.9933963254184093</v>
      </c>
      <c r="C8">
        <v>17.271106802860359</v>
      </c>
      <c r="D8">
        <v>0.35053786766198175</v>
      </c>
      <c r="E8">
        <v>1.9966389850668294</v>
      </c>
      <c r="F8">
        <v>0.28867513459481287</v>
      </c>
      <c r="G8">
        <v>0.79695596368489852</v>
      </c>
      <c r="H8">
        <v>1.5086741086261038E-3</v>
      </c>
      <c r="I8">
        <v>6.6934278297424319E-3</v>
      </c>
      <c r="J8">
        <v>8.3306071402287503E-5</v>
      </c>
      <c r="L8">
        <v>0.01</v>
      </c>
      <c r="M8">
        <v>1.4999999999999999E-2</v>
      </c>
      <c r="N8">
        <v>28.290202739771651</v>
      </c>
      <c r="O8">
        <v>89.204774686600601</v>
      </c>
      <c r="P8">
        <v>2</v>
      </c>
      <c r="Q8" t="s">
        <v>39</v>
      </c>
      <c r="R8">
        <v>10861.060091760688</v>
      </c>
      <c r="S8">
        <v>17175.035240923386</v>
      </c>
      <c r="T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0.7566276017080461</v>
      </c>
      <c r="U8">
        <f>Tableau1[[#This Row],[S2]]/Tableau1[[#This Row],[S1]]*SQRT(Tableau1[[#This Row],[rho1]]/Tableau1[[#This Row],[rho2]])*Tableau1[[#This Row],[J]]^(1/2)*Tableau1[[#This Row],[d2]]/Tableau1[[#This Row],[d1]]</f>
        <v>13.057746940875681</v>
      </c>
      <c r="V8">
        <v>0.47939488372490863</v>
      </c>
      <c r="W8">
        <v>0.34532528597720741</v>
      </c>
      <c r="X8">
        <v>0.67899956493430635</v>
      </c>
      <c r="Y8">
        <v>1.1794664292299073</v>
      </c>
      <c r="Z8">
        <v>16.602717099367574</v>
      </c>
      <c r="AA8">
        <v>28.84</v>
      </c>
      <c r="AB8">
        <f>Tableau1[[#This Row],[u2]]/Tableau1[[#This Row],[u1]]</f>
        <v>3.1532037966342488</v>
      </c>
      <c r="AC8">
        <f>ABS(Tableau1[[#This Row],[u2]]-Tableau1[[#This Row],[u1]])</f>
        <v>60.91457194682895</v>
      </c>
      <c r="AD8">
        <f>(Tableau1[[#This Row],[d1]]+0.002)/Tableau1[[#This Row],[d2]]</f>
        <v>0.8</v>
      </c>
      <c r="AE8">
        <f>Tableau1[[#This Row],[S2]]*Tableau1[[#This Row],[u2]]/(Tableau1[[#This Row],[S1]]*Tableau1[[#This Row],[u1]])*(1-Tableau1[[#This Row],[ALPHA]]^3)/(1-Tableau1[[#This Row],[ALPHA]]^4)</f>
        <v>7.1953257759116207</v>
      </c>
      <c r="AF8" s="1">
        <v>1</v>
      </c>
      <c r="AG8" s="1" t="s">
        <v>40</v>
      </c>
      <c r="AH8" s="1" t="s">
        <v>47</v>
      </c>
      <c r="AI8" t="s">
        <v>42</v>
      </c>
      <c r="AJ8" t="s">
        <v>42</v>
      </c>
      <c r="AK8" t="s">
        <v>44</v>
      </c>
      <c r="AL8">
        <v>5.125</v>
      </c>
      <c r="AM8">
        <v>0.73801511492049454</v>
      </c>
    </row>
    <row r="9" spans="1:40" x14ac:dyDescent="0.25">
      <c r="A9" t="s">
        <v>38</v>
      </c>
      <c r="B9">
        <v>9.9641824841202205</v>
      </c>
      <c r="C9">
        <v>22.153803669541261</v>
      </c>
      <c r="D9">
        <v>0.35882299020517222</v>
      </c>
      <c r="E9">
        <v>2.3531573231913816</v>
      </c>
      <c r="F9">
        <v>0.86602540378443837</v>
      </c>
      <c r="G9">
        <v>0</v>
      </c>
      <c r="H9">
        <v>1.2889427304901401E-3</v>
      </c>
      <c r="I9">
        <v>6.7022691631317141E-3</v>
      </c>
      <c r="J9">
        <v>8.3062541548184563E-5</v>
      </c>
      <c r="K9">
        <v>0</v>
      </c>
      <c r="L9">
        <v>0.01</v>
      </c>
      <c r="M9">
        <v>1.4999999999999999E-2</v>
      </c>
      <c r="N9">
        <v>25.883100748808516</v>
      </c>
      <c r="O9">
        <v>89.322605067831518</v>
      </c>
      <c r="P9">
        <v>2</v>
      </c>
      <c r="Q9" t="s">
        <v>39</v>
      </c>
      <c r="R9">
        <v>9364.3409325999874</v>
      </c>
      <c r="S9">
        <v>17197.7217053778</v>
      </c>
      <c r="T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3.0475747657493075E-2</v>
      </c>
      <c r="U9">
        <f>Tableau1[[#This Row],[S2]]/Tableau1[[#This Row],[S1]]*SQRT(Tableau1[[#This Row],[rho1]]/Tableau1[[#This Row],[rho2]])*Tableau1[[#This Row],[J]]^(1/2)*Tableau1[[#This Row],[d2]]/Tableau1[[#This Row],[d1]]</f>
        <v>0</v>
      </c>
      <c r="V9">
        <v>0.45798311153962151</v>
      </c>
      <c r="W9">
        <v>0.31128193160495776</v>
      </c>
      <c r="X9">
        <v>0.63405573825404615</v>
      </c>
      <c r="Y9">
        <v>1.1794664292299071</v>
      </c>
      <c r="Z9">
        <v>15.503762581174968</v>
      </c>
      <c r="AA9">
        <v>28.839999999999996</v>
      </c>
      <c r="AB9">
        <f>Tableau1[[#This Row],[u2]]/Tableau1[[#This Row],[u1]]</f>
        <v>3.4510009420700234</v>
      </c>
      <c r="AC9">
        <f>ABS(Tableau1[[#This Row],[u2]]-Tableau1[[#This Row],[u1]])</f>
        <v>63.439504319023001</v>
      </c>
      <c r="AD9">
        <f>(Tableau1[[#This Row],[d1]]+0.002)/Tableau1[[#This Row],[d2]]</f>
        <v>0.8</v>
      </c>
      <c r="AE9">
        <f>Tableau1[[#This Row],[S2]]*Tableau1[[#This Row],[u2]]/(Tableau1[[#This Row],[S1]]*Tableau1[[#This Row],[u1]])*(1-Tableau1[[#This Row],[ALPHA]]^3)/(1-Tableau1[[#This Row],[ALPHA]]^4)</f>
        <v>0</v>
      </c>
      <c r="AF9">
        <v>1</v>
      </c>
      <c r="AG9" t="s">
        <v>40</v>
      </c>
      <c r="AH9" t="s">
        <v>41</v>
      </c>
      <c r="AI9" t="s">
        <v>42</v>
      </c>
      <c r="AJ9" t="s">
        <v>43</v>
      </c>
      <c r="AK9" t="s">
        <v>44</v>
      </c>
      <c r="AL9" t="s">
        <v>44</v>
      </c>
      <c r="AM9" t="s">
        <v>44</v>
      </c>
    </row>
    <row r="10" spans="1:40" x14ac:dyDescent="0.25">
      <c r="A10" t="s">
        <v>45</v>
      </c>
      <c r="B10">
        <v>9.96331401084087</v>
      </c>
      <c r="C10">
        <v>18.167988003149748</v>
      </c>
      <c r="D10">
        <v>0.34635229394433209</v>
      </c>
      <c r="E10">
        <v>2.0193383453721516</v>
      </c>
      <c r="F10">
        <v>0.86602540378443837</v>
      </c>
      <c r="G10">
        <v>0.78875594421608708</v>
      </c>
      <c r="H10">
        <v>1.4881583535200716E-3</v>
      </c>
      <c r="I10">
        <v>6.7870715665817281E-3</v>
      </c>
      <c r="J10">
        <v>8.3055301857626457E-5</v>
      </c>
      <c r="K10">
        <v>5.9967854261398328E-3</v>
      </c>
      <c r="L10">
        <v>0.01</v>
      </c>
      <c r="M10">
        <v>1.4999999999999999E-2</v>
      </c>
      <c r="N10">
        <v>28.032599543379146</v>
      </c>
      <c r="O10">
        <v>90.452785221418338</v>
      </c>
      <c r="P10">
        <v>2</v>
      </c>
      <c r="Q10" t="s">
        <v>39</v>
      </c>
      <c r="R10">
        <v>10719.516214393745</v>
      </c>
      <c r="S10">
        <v>17415.320864555568</v>
      </c>
      <c r="T1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0.77530438341076457</v>
      </c>
      <c r="U10">
        <f>Tableau1[[#This Row],[S2]]/Tableau1[[#This Row],[S1]]*SQRT(Tableau1[[#This Row],[rho1]]/Tableau1[[#This Row],[rho2]])*Tableau1[[#This Row],[J]]^(1/2)*Tableau1[[#This Row],[d2]]/Tableau1[[#This Row],[d1]]</f>
        <v>4.4082056183293146</v>
      </c>
      <c r="V10">
        <v>0.47786451309451916</v>
      </c>
      <c r="W10">
        <v>0.34291545970728982</v>
      </c>
      <c r="X10">
        <v>0.67592092613374577</v>
      </c>
      <c r="Y10">
        <v>1.1794664292299073</v>
      </c>
      <c r="Z10">
        <v>16.527439040740557</v>
      </c>
      <c r="AA10">
        <v>28.84</v>
      </c>
      <c r="AB10">
        <f>Tableau1[[#This Row],[u2]]/Tableau1[[#This Row],[u1]]</f>
        <v>3.2266998671117482</v>
      </c>
      <c r="AC10">
        <f>ABS(Tableau1[[#This Row],[u2]]-Tableau1[[#This Row],[u1]])</f>
        <v>62.420185678039189</v>
      </c>
      <c r="AD10">
        <f>(Tableau1[[#This Row],[d1]]+0.002)/Tableau1[[#This Row],[d2]]</f>
        <v>0.8</v>
      </c>
      <c r="AE10">
        <f>Tableau1[[#This Row],[S2]]*Tableau1[[#This Row],[u2]]/(Tableau1[[#This Row],[S1]]*Tableau1[[#This Row],[u1]])*(1-Tableau1[[#This Row],[ALPHA]]^3)/(1-Tableau1[[#This Row],[ALPHA]]^4)</f>
        <v>2.4290925268119983</v>
      </c>
      <c r="AF10">
        <v>1</v>
      </c>
      <c r="AG10" t="s">
        <v>40</v>
      </c>
      <c r="AH10" t="s">
        <v>41</v>
      </c>
      <c r="AI10" t="s">
        <v>42</v>
      </c>
      <c r="AJ10" t="s">
        <v>43</v>
      </c>
      <c r="AK10" t="s">
        <v>44</v>
      </c>
      <c r="AL10" t="s">
        <v>44</v>
      </c>
      <c r="AM10" t="s">
        <v>44</v>
      </c>
      <c r="AN10" t="s">
        <v>49</v>
      </c>
    </row>
    <row r="11" spans="1:40" x14ac:dyDescent="0.25">
      <c r="A11" t="s">
        <v>46</v>
      </c>
      <c r="B11">
        <v>9.9620855782417852</v>
      </c>
      <c r="C11">
        <v>22.396864868452393</v>
      </c>
      <c r="D11">
        <v>0.35407068223856603</v>
      </c>
      <c r="E11">
        <v>2.3264459584266555</v>
      </c>
      <c r="F11">
        <v>0.86602540378443837</v>
      </c>
      <c r="G11">
        <v>0.78875800062670298</v>
      </c>
      <c r="H11">
        <v>1.3025140222678745E-3</v>
      </c>
      <c r="I11">
        <v>6.7931363677978529E-3</v>
      </c>
      <c r="J11">
        <v>8.3045061505850165E-5</v>
      </c>
      <c r="K11">
        <v>6.0021596908569341E-3</v>
      </c>
      <c r="L11">
        <v>0.01</v>
      </c>
      <c r="M11">
        <v>1.4999999999999999E-2</v>
      </c>
      <c r="N11">
        <v>26.027084692269185</v>
      </c>
      <c r="O11">
        <v>90.533612151918632</v>
      </c>
      <c r="P11">
        <v>2</v>
      </c>
      <c r="Q11" t="s">
        <v>39</v>
      </c>
      <c r="R11">
        <v>9456.3930113735514</v>
      </c>
      <c r="S11">
        <v>17430.882872134596</v>
      </c>
      <c r="T1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0.77771350739395118</v>
      </c>
      <c r="U11">
        <f>Tableau1[[#This Row],[S2]]/Tableau1[[#This Row],[S1]]*SQRT(Tableau1[[#This Row],[rho1]]/Tableau1[[#This Row],[rho2]])*Tableau1[[#This Row],[J]]^(1/2)*Tableau1[[#This Row],[d2]]/Tableau1[[#This Row],[d1]]</f>
        <v>4.7521345430199853</v>
      </c>
      <c r="V11">
        <v>0.45941276490568422</v>
      </c>
      <c r="W11">
        <v>0.31357712512327562</v>
      </c>
      <c r="X11">
        <v>0.63718713806472216</v>
      </c>
      <c r="Y11">
        <v>1.1794664292299073</v>
      </c>
      <c r="Z11">
        <v>15.580330738014208</v>
      </c>
      <c r="AA11">
        <v>28.84</v>
      </c>
      <c r="AB11">
        <f>Tableau1[[#This Row],[u2]]/Tableau1[[#This Row],[u1]]</f>
        <v>3.4784384506502106</v>
      </c>
      <c r="AC11">
        <f>ABS(Tableau1[[#This Row],[u2]]-Tableau1[[#This Row],[u1]])</f>
        <v>64.506527459649448</v>
      </c>
      <c r="AD11">
        <f>(Tableau1[[#This Row],[d1]]+0.002)/Tableau1[[#This Row],[d2]]</f>
        <v>0.8</v>
      </c>
      <c r="AE11">
        <f>Tableau1[[#This Row],[S2]]*Tableau1[[#This Row],[u2]]/(Tableau1[[#This Row],[S1]]*Tableau1[[#This Row],[u1]])*(1-Tableau1[[#This Row],[ALPHA]]^3)/(1-Tableau1[[#This Row],[ALPHA]]^4)</f>
        <v>2.6186107237960168</v>
      </c>
      <c r="AF11">
        <v>1</v>
      </c>
      <c r="AG11" t="s">
        <v>40</v>
      </c>
      <c r="AH11" t="s">
        <v>47</v>
      </c>
      <c r="AI11" t="s">
        <v>42</v>
      </c>
      <c r="AJ11" t="s">
        <v>43</v>
      </c>
      <c r="AK11" t="s">
        <v>44</v>
      </c>
      <c r="AL11" t="s">
        <v>44</v>
      </c>
      <c r="AM11" t="s">
        <v>44</v>
      </c>
    </row>
    <row r="12" spans="1:40" x14ac:dyDescent="0.25">
      <c r="A12" t="s">
        <v>48</v>
      </c>
      <c r="B12">
        <v>10.056577756491237</v>
      </c>
      <c r="C12">
        <v>17.428080636803415</v>
      </c>
      <c r="D12">
        <v>0.34966523337745181</v>
      </c>
      <c r="E12">
        <v>1.9997760555465527</v>
      </c>
      <c r="F12">
        <v>0.86602540378443837</v>
      </c>
      <c r="G12">
        <v>0</v>
      </c>
      <c r="H12">
        <v>1.5159622993338108E-3</v>
      </c>
      <c r="I12">
        <v>6.7583855295181277E-3</v>
      </c>
      <c r="J12">
        <v>8.3832758890390436E-5</v>
      </c>
      <c r="K12">
        <v>0</v>
      </c>
      <c r="L12">
        <v>0.01</v>
      </c>
      <c r="M12">
        <v>1.4999999999999999E-2</v>
      </c>
      <c r="N12">
        <v>28.444772175688513</v>
      </c>
      <c r="O12">
        <v>90.070480139776919</v>
      </c>
      <c r="P12">
        <v>2</v>
      </c>
      <c r="Q12" t="s">
        <v>39</v>
      </c>
      <c r="R12">
        <v>10914.393226331993</v>
      </c>
      <c r="S12">
        <v>17341.713781604656</v>
      </c>
      <c r="T1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3.8192762868457471E-2</v>
      </c>
      <c r="U12">
        <f>Tableau1[[#This Row],[S2]]/Tableau1[[#This Row],[S1]]*SQRT(Tableau1[[#This Row],[rho1]]/Tableau1[[#This Row],[rho2]])*Tableau1[[#This Row],[J]]^(1/2)*Tableau1[[#This Row],[d2]]/Tableau1[[#This Row],[d1]]</f>
        <v>0</v>
      </c>
      <c r="V12">
        <v>0.47918185512969624</v>
      </c>
      <c r="W12">
        <v>0.34499004988610027</v>
      </c>
      <c r="X12">
        <v>0.67857219453814521</v>
      </c>
      <c r="Y12">
        <v>1.1794664292299073</v>
      </c>
      <c r="Z12">
        <v>16.592267151899939</v>
      </c>
      <c r="AA12">
        <v>28.84</v>
      </c>
      <c r="AB12">
        <f>Tableau1[[#This Row],[u2]]/Tableau1[[#This Row],[u1]]</f>
        <v>3.1665038335852569</v>
      </c>
      <c r="AC12">
        <f>ABS(Tableau1[[#This Row],[u2]]-Tableau1[[#This Row],[u1]])</f>
        <v>61.625707964088406</v>
      </c>
      <c r="AD12">
        <f>(Tableau1[[#This Row],[d1]]+0.002)/Tableau1[[#This Row],[d2]]</f>
        <v>0.8</v>
      </c>
      <c r="AE12">
        <f>Tableau1[[#This Row],[S2]]*Tableau1[[#This Row],[u2]]/(Tableau1[[#This Row],[S1]]*Tableau1[[#This Row],[u1]])*(1-Tableau1[[#This Row],[ALPHA]]^3)/(1-Tableau1[[#This Row],[ALPHA]]^4)</f>
        <v>0</v>
      </c>
      <c r="AF12">
        <v>1</v>
      </c>
      <c r="AG12" t="s">
        <v>40</v>
      </c>
      <c r="AH12" t="s">
        <v>41</v>
      </c>
      <c r="AI12" t="s">
        <v>42</v>
      </c>
      <c r="AJ12" t="s">
        <v>43</v>
      </c>
      <c r="AK12" t="s">
        <v>44</v>
      </c>
      <c r="AL12" t="s">
        <v>44</v>
      </c>
      <c r="AM12" t="s">
        <v>44</v>
      </c>
      <c r="AN12" t="s">
        <v>49</v>
      </c>
    </row>
    <row r="13" spans="1:40" x14ac:dyDescent="0.25">
      <c r="A13" t="s">
        <v>48</v>
      </c>
      <c r="B13">
        <v>10.059525994729032</v>
      </c>
      <c r="C13">
        <v>17.431874983270923</v>
      </c>
      <c r="D13">
        <v>0.34972062017843186</v>
      </c>
      <c r="E13">
        <v>2.0004053802462951</v>
      </c>
      <c r="F13">
        <v>0.86602540378443837</v>
      </c>
      <c r="G13">
        <v>0</v>
      </c>
      <c r="H13">
        <v>1.5159560486557961E-3</v>
      </c>
      <c r="I13">
        <v>6.7595199823379526E-3</v>
      </c>
      <c r="J13">
        <v>8.3857335734653491E-5</v>
      </c>
      <c r="K13">
        <v>0</v>
      </c>
      <c r="L13">
        <v>0.01</v>
      </c>
      <c r="M13">
        <v>1.4999999999999999E-2</v>
      </c>
      <c r="N13">
        <v>28.448246101643495</v>
      </c>
      <c r="O13">
        <v>90.085599240297583</v>
      </c>
      <c r="P13">
        <v>2</v>
      </c>
      <c r="Q13" t="s">
        <v>39</v>
      </c>
      <c r="R13">
        <v>10914.521767508682</v>
      </c>
      <c r="S13">
        <v>17344.624736597416</v>
      </c>
      <c r="T1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3.81849993874466E-2</v>
      </c>
      <c r="U13">
        <f>Tableau1[[#This Row],[S2]]/Tableau1[[#This Row],[S1]]*SQRT(Tableau1[[#This Row],[rho1]]/Tableau1[[#This Row],[rho2]])*Tableau1[[#This Row],[J]]^(1/2)*Tableau1[[#This Row],[d2]]/Tableau1[[#This Row],[d1]]</f>
        <v>0</v>
      </c>
      <c r="V13">
        <v>0.47913917917979759</v>
      </c>
      <c r="W13">
        <v>0.34492288385854036</v>
      </c>
      <c r="X13">
        <v>0.67848653387370439</v>
      </c>
      <c r="Y13">
        <v>1.1794664292299073</v>
      </c>
      <c r="Z13">
        <v>16.590172600074428</v>
      </c>
      <c r="AA13">
        <v>28.84</v>
      </c>
      <c r="AB13">
        <f>Tableau1[[#This Row],[u2]]/Tableau1[[#This Row],[u1]]</f>
        <v>3.1666486193359109</v>
      </c>
      <c r="AC13">
        <f>ABS(Tableau1[[#This Row],[u2]]-Tableau1[[#This Row],[u1]])</f>
        <v>61.637353138654092</v>
      </c>
      <c r="AD13">
        <f>(Tableau1[[#This Row],[d1]]+0.002)/Tableau1[[#This Row],[d2]]</f>
        <v>0.8</v>
      </c>
      <c r="AE13">
        <f>Tableau1[[#This Row],[S2]]*Tableau1[[#This Row],[u2]]/(Tableau1[[#This Row],[S1]]*Tableau1[[#This Row],[u1]])*(1-Tableau1[[#This Row],[ALPHA]]^3)/(1-Tableau1[[#This Row],[ALPHA]]^4)</f>
        <v>0</v>
      </c>
      <c r="AF13">
        <v>1</v>
      </c>
      <c r="AG13" t="s">
        <v>40</v>
      </c>
      <c r="AH13" t="s">
        <v>41</v>
      </c>
      <c r="AI13" t="s">
        <v>42</v>
      </c>
      <c r="AJ13" t="s">
        <v>43</v>
      </c>
      <c r="AK13" t="s">
        <v>44</v>
      </c>
      <c r="AL13" t="s">
        <v>44</v>
      </c>
      <c r="AM13" t="s">
        <v>44</v>
      </c>
      <c r="AN13" t="s">
        <v>49</v>
      </c>
    </row>
    <row r="14" spans="1:40" x14ac:dyDescent="0.25">
      <c r="A14" t="s">
        <v>50</v>
      </c>
      <c r="B14">
        <v>10.064799684445093</v>
      </c>
      <c r="C14">
        <v>17.606504180588967</v>
      </c>
      <c r="D14">
        <v>0.34865018511676932</v>
      </c>
      <c r="E14">
        <v>2.0030681502391006</v>
      </c>
      <c r="F14">
        <v>0.86602540378443837</v>
      </c>
      <c r="G14">
        <v>0.8927021164749771</v>
      </c>
      <c r="H14">
        <v>1.5148460338068525E-3</v>
      </c>
      <c r="I14">
        <v>6.7901317119598405E-3</v>
      </c>
      <c r="J14">
        <v>8.3901297802976772E-5</v>
      </c>
      <c r="K14">
        <v>6.7901317119598405E-3</v>
      </c>
      <c r="L14">
        <v>0.01</v>
      </c>
      <c r="M14">
        <v>1.4999999999999999E-2</v>
      </c>
      <c r="N14">
        <v>28.442598156975468</v>
      </c>
      <c r="O14">
        <v>90.493568447279046</v>
      </c>
      <c r="P14">
        <v>2</v>
      </c>
      <c r="Q14" t="s">
        <v>39</v>
      </c>
      <c r="R14">
        <v>10907.263823095238</v>
      </c>
      <c r="S14">
        <v>17423.173060179142</v>
      </c>
      <c r="T1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0.87203857532600448</v>
      </c>
      <c r="U14">
        <f>Tableau1[[#This Row],[S2]]/Tableau1[[#This Row],[S1]]*SQRT(Tableau1[[#This Row],[rho1]]/Tableau1[[#This Row],[rho2]])*Tableau1[[#This Row],[J]]^(1/2)*Tableau1[[#This Row],[d2]]/Tableau1[[#This Row],[d1]]</f>
        <v>4.9194396867425532</v>
      </c>
      <c r="V14">
        <v>0.47895883021828078</v>
      </c>
      <c r="W14">
        <v>0.34463900904058437</v>
      </c>
      <c r="X14">
        <v>0.67812436254353936</v>
      </c>
      <c r="Y14">
        <v>1.1794664292299073</v>
      </c>
      <c r="Z14">
        <v>16.581316882859333</v>
      </c>
      <c r="AA14">
        <v>28.84</v>
      </c>
      <c r="AB14">
        <f>Tableau1[[#This Row],[u2]]/Tableau1[[#This Row],[u1]]</f>
        <v>3.1816210301127414</v>
      </c>
      <c r="AC14">
        <f>ABS(Tableau1[[#This Row],[u2]]-Tableau1[[#This Row],[u1]])</f>
        <v>62.050970290303582</v>
      </c>
      <c r="AD14">
        <f>(Tableau1[[#This Row],[d1]]+0.002)/Tableau1[[#This Row],[d2]]</f>
        <v>0.8</v>
      </c>
      <c r="AE14">
        <f>Tableau1[[#This Row],[S2]]*Tableau1[[#This Row],[u2]]/(Tableau1[[#This Row],[S1]]*Tableau1[[#This Row],[u1]])*(1-Tableau1[[#This Row],[ALPHA]]^3)/(1-Tableau1[[#This Row],[ALPHA]]^4)</f>
        <v>2.7108023567416066</v>
      </c>
      <c r="AF14">
        <v>1</v>
      </c>
      <c r="AG14" t="s">
        <v>40</v>
      </c>
      <c r="AH14" t="s">
        <v>41</v>
      </c>
      <c r="AI14" t="s">
        <v>42</v>
      </c>
      <c r="AJ14" t="s">
        <v>43</v>
      </c>
      <c r="AK14" t="s">
        <v>44</v>
      </c>
      <c r="AL14" t="s">
        <v>44</v>
      </c>
      <c r="AM14" t="s">
        <v>44</v>
      </c>
      <c r="AN14" t="s">
        <v>49</v>
      </c>
    </row>
    <row r="15" spans="1:40" x14ac:dyDescent="0.25">
      <c r="A15" t="s">
        <v>161</v>
      </c>
      <c r="B15">
        <v>10.039139727224256</v>
      </c>
      <c r="C15">
        <v>56.035145525642349</v>
      </c>
      <c r="D15">
        <v>0.34969933605494341</v>
      </c>
      <c r="E15">
        <v>4.0277943634543147</v>
      </c>
      <c r="F15">
        <v>0</v>
      </c>
      <c r="G15">
        <v>0.79807416704064682</v>
      </c>
      <c r="H15">
        <v>7.9349828706032431E-4</v>
      </c>
      <c r="I15">
        <v>7.4657045316696155E-3</v>
      </c>
      <c r="J15">
        <v>8.3687393524710363E-5</v>
      </c>
      <c r="L15">
        <v>0.01</v>
      </c>
      <c r="M15">
        <v>1.4999999999999999E-2</v>
      </c>
      <c r="N15">
        <v>20.62479282933187</v>
      </c>
      <c r="O15">
        <v>99.497074976297824</v>
      </c>
      <c r="P15">
        <v>2</v>
      </c>
      <c r="Q15" t="s">
        <v>39</v>
      </c>
      <c r="R15">
        <v>6023.8024068637797</v>
      </c>
      <c r="S15">
        <v>19156.662578773368</v>
      </c>
      <c r="T1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0.78087001688035451</v>
      </c>
      <c r="U15" t="e">
        <f>Tableau1[[#This Row],[S2]]/Tableau1[[#This Row],[S1]]*SQRT(Tableau1[[#This Row],[rho1]]/Tableau1[[#This Row],[rho2]])*Tableau1[[#This Row],[J]]^(1/2)*Tableau1[[#This Row],[d2]]/Tableau1[[#This Row],[d1]]</f>
        <v>#DIV/0!</v>
      </c>
      <c r="V15">
        <v>0.40057838421300823</v>
      </c>
      <c r="W15">
        <v>0.21640279278569727</v>
      </c>
      <c r="X15">
        <v>0.48985384053312081</v>
      </c>
      <c r="Y15">
        <v>1.1794664292299073</v>
      </c>
      <c r="Z15">
        <v>11.977776061162846</v>
      </c>
      <c r="AA15">
        <v>28.84</v>
      </c>
      <c r="AB15">
        <f>Tableau1[[#This Row],[u2]]/Tableau1[[#This Row],[u1]]</f>
        <v>4.8241490617445866</v>
      </c>
      <c r="AC15">
        <f>ABS(Tableau1[[#This Row],[u2]]-Tableau1[[#This Row],[u1]])</f>
        <v>78.872282146965958</v>
      </c>
      <c r="AD15">
        <f>(Tableau1[[#This Row],[d1]]+0.002)/Tableau1[[#This Row],[d2]]</f>
        <v>0.8</v>
      </c>
      <c r="AE15" t="e">
        <f>Tableau1[[#This Row],[S2]]*Tableau1[[#This Row],[u2]]/(Tableau1[[#This Row],[S1]]*Tableau1[[#This Row],[u1]])*(1-Tableau1[[#This Row],[ALPHA]]^3)/(1-Tableau1[[#This Row],[ALPHA]]^4)</f>
        <v>#DIV/0!</v>
      </c>
      <c r="AF15" s="1">
        <v>1</v>
      </c>
      <c r="AG15" s="1" t="s">
        <v>40</v>
      </c>
      <c r="AH15" s="1" t="s">
        <v>47</v>
      </c>
      <c r="AI15" t="s">
        <v>42</v>
      </c>
      <c r="AJ15" t="s">
        <v>42</v>
      </c>
      <c r="AK15" t="s">
        <v>44</v>
      </c>
      <c r="AL15">
        <v>5.4</v>
      </c>
      <c r="AM15">
        <v>0.77962868853307987</v>
      </c>
    </row>
    <row r="16" spans="1:40" x14ac:dyDescent="0.25">
      <c r="A16" t="s">
        <v>113</v>
      </c>
      <c r="B16">
        <v>10.043876334780716</v>
      </c>
      <c r="C16">
        <v>55.626429865125708</v>
      </c>
      <c r="D16">
        <v>0.34939947645218206</v>
      </c>
      <c r="E16">
        <v>4.0024557127576532</v>
      </c>
      <c r="F16">
        <v>0.28867513459481287</v>
      </c>
      <c r="G16">
        <v>0</v>
      </c>
      <c r="H16">
        <v>7.9836844469252817E-4</v>
      </c>
      <c r="I16">
        <v>7.4717508363723751E-3</v>
      </c>
      <c r="J16">
        <v>8.3726878415977954E-5</v>
      </c>
      <c r="K16">
        <v>0</v>
      </c>
      <c r="L16">
        <v>0.01</v>
      </c>
      <c r="M16">
        <v>1.4999999999999999E-2</v>
      </c>
      <c r="N16">
        <v>20.683055988022133</v>
      </c>
      <c r="O16">
        <v>99.577655399724449</v>
      </c>
      <c r="P16">
        <v>2</v>
      </c>
      <c r="Q16" t="s">
        <v>39</v>
      </c>
      <c r="R16">
        <v>6056.7890630376542</v>
      </c>
      <c r="S16">
        <v>19172.177125129692</v>
      </c>
      <c r="T1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4.178482838913168E-3</v>
      </c>
      <c r="U16">
        <f>Tableau1[[#This Row],[S2]]/Tableau1[[#This Row],[S1]]*SQRT(Tableau1[[#This Row],[rho1]]/Tableau1[[#This Row],[rho2]])*Tableau1[[#This Row],[J]]^(1/2)*Tableau1[[#This Row],[d2]]/Tableau1[[#This Row],[d1]]</f>
        <v>0</v>
      </c>
      <c r="V16">
        <v>0.40114260031982757</v>
      </c>
      <c r="W16">
        <v>0.21736192273215785</v>
      </c>
      <c r="X16">
        <v>0.49147199313288764</v>
      </c>
      <c r="Y16">
        <v>1.1794664292299073</v>
      </c>
      <c r="Z16">
        <v>12.017342698941373</v>
      </c>
      <c r="AA16">
        <v>28.84</v>
      </c>
      <c r="AB16">
        <f>Tableau1[[#This Row],[u2]]/Tableau1[[#This Row],[u1]]</f>
        <v>4.8144556325424714</v>
      </c>
      <c r="AC16">
        <f>ABS(Tableau1[[#This Row],[u2]]-Tableau1[[#This Row],[u1]])</f>
        <v>78.894599411702316</v>
      </c>
      <c r="AD16">
        <f>(Tableau1[[#This Row],[d1]]+0.002)/Tableau1[[#This Row],[d2]]</f>
        <v>0.8</v>
      </c>
      <c r="AE16">
        <f>Tableau1[[#This Row],[S2]]*Tableau1[[#This Row],[u2]]/(Tableau1[[#This Row],[S1]]*Tableau1[[#This Row],[u1]])*(1-Tableau1[[#This Row],[ALPHA]]^3)/(1-Tableau1[[#This Row],[ALPHA]]^4)</f>
        <v>0</v>
      </c>
      <c r="AF16">
        <v>1</v>
      </c>
      <c r="AG16" t="s">
        <v>40</v>
      </c>
      <c r="AH16" t="s">
        <v>41</v>
      </c>
      <c r="AI16" t="s">
        <v>42</v>
      </c>
      <c r="AJ16" t="s">
        <v>43</v>
      </c>
      <c r="AK16" t="s">
        <v>44</v>
      </c>
      <c r="AL16" t="s">
        <v>44</v>
      </c>
      <c r="AM16" t="s">
        <v>44</v>
      </c>
    </row>
    <row r="17" spans="1:39" x14ac:dyDescent="0.25">
      <c r="A17" t="s">
        <v>114</v>
      </c>
      <c r="B17">
        <v>10.044836226299999</v>
      </c>
      <c r="C17">
        <v>56.045490315297066</v>
      </c>
      <c r="D17">
        <v>0.34830348701918801</v>
      </c>
      <c r="E17">
        <v>4.0041624726035536</v>
      </c>
      <c r="F17">
        <v>0.28867513459481287</v>
      </c>
      <c r="G17">
        <v>0.80880462480672033</v>
      </c>
      <c r="H17">
        <v>7.9814010211831329E-4</v>
      </c>
      <c r="I17">
        <v>7.4985317325592035E-3</v>
      </c>
      <c r="J17">
        <v>8.37348801792264E-5</v>
      </c>
      <c r="K17">
        <v>6.7938084077835076E-3</v>
      </c>
      <c r="L17">
        <v>0.01</v>
      </c>
      <c r="M17">
        <v>1.4999999999999999E-2</v>
      </c>
      <c r="N17">
        <v>20.681744033927036</v>
      </c>
      <c r="O17">
        <v>99.934570252774137</v>
      </c>
      <c r="P17">
        <v>2</v>
      </c>
      <c r="Q17" t="s">
        <v>39</v>
      </c>
      <c r="R17">
        <v>6055.3251103618186</v>
      </c>
      <c r="S17">
        <v>19240.895702141672</v>
      </c>
      <c r="T1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0.79552021923035487</v>
      </c>
      <c r="U17">
        <f>Tableau1[[#This Row],[S2]]/Tableau1[[#This Row],[S1]]*SQRT(Tableau1[[#This Row],[rho1]]/Tableau1[[#This Row],[rho2]])*Tableau1[[#This Row],[J]]^(1/2)*Tableau1[[#This Row],[d2]]/Tableau1[[#This Row],[d1]]</f>
        <v>20.307389483485146</v>
      </c>
      <c r="V17">
        <v>0.40110440512500695</v>
      </c>
      <c r="W17">
        <v>0.21729701056704642</v>
      </c>
      <c r="X17">
        <v>0.49136259427103923</v>
      </c>
      <c r="Y17">
        <v>1.1794664292299073</v>
      </c>
      <c r="Z17">
        <v>12.014667707014924</v>
      </c>
      <c r="AA17">
        <v>28.84</v>
      </c>
      <c r="AB17">
        <f>Tableau1[[#This Row],[u2]]/Tableau1[[#This Row],[u1]]</f>
        <v>4.8320185226564103</v>
      </c>
      <c r="AC17">
        <f>ABS(Tableau1[[#This Row],[u2]]-Tableau1[[#This Row],[u1]])</f>
        <v>79.252826218847105</v>
      </c>
      <c r="AD17">
        <f>(Tableau1[[#This Row],[d1]]+0.002)/Tableau1[[#This Row],[d2]]</f>
        <v>0.8</v>
      </c>
      <c r="AE17">
        <f>Tableau1[[#This Row],[S2]]*Tableau1[[#This Row],[u2]]/(Tableau1[[#This Row],[S1]]*Tableau1[[#This Row],[u1]])*(1-Tableau1[[#This Row],[ALPHA]]^3)/(1-Tableau1[[#This Row],[ALPHA]]^4)</f>
        <v>11.190160419987299</v>
      </c>
      <c r="AF17">
        <v>1</v>
      </c>
      <c r="AG17" t="s">
        <v>40</v>
      </c>
      <c r="AH17" t="s">
        <v>47</v>
      </c>
      <c r="AI17" t="s">
        <v>42</v>
      </c>
      <c r="AJ17" t="s">
        <v>43</v>
      </c>
      <c r="AK17" t="s">
        <v>44</v>
      </c>
      <c r="AL17" t="s">
        <v>44</v>
      </c>
      <c r="AM17" t="s">
        <v>44</v>
      </c>
    </row>
    <row r="18" spans="1:39" x14ac:dyDescent="0.25">
      <c r="A18" t="s">
        <v>114</v>
      </c>
      <c r="B18">
        <v>10.046556031938717</v>
      </c>
      <c r="C18">
        <v>55.199923411335376</v>
      </c>
      <c r="D18">
        <v>0.35082237588820969</v>
      </c>
      <c r="E18">
        <v>4.0057756892588801</v>
      </c>
      <c r="F18">
        <v>0.28867513459481287</v>
      </c>
      <c r="G18">
        <v>0.80756785484518478</v>
      </c>
      <c r="H18">
        <v>7.9798899757457581E-4</v>
      </c>
      <c r="I18">
        <v>7.4411247205734251E-3</v>
      </c>
      <c r="J18">
        <v>8.3749216671713219E-5</v>
      </c>
      <c r="K18">
        <v>6.7314874887466425E-3</v>
      </c>
      <c r="L18">
        <v>0.01</v>
      </c>
      <c r="M18">
        <v>1.4999999999999999E-2</v>
      </c>
      <c r="N18">
        <v>20.682178671305671</v>
      </c>
      <c r="O18">
        <v>99.169494465019014</v>
      </c>
      <c r="P18">
        <v>2</v>
      </c>
      <c r="Q18" t="s">
        <v>39</v>
      </c>
      <c r="R18">
        <v>6054.4323112297789</v>
      </c>
      <c r="S18">
        <v>19093.591887263639</v>
      </c>
      <c r="T1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0.79411146265260801</v>
      </c>
      <c r="U18">
        <f>Tableau1[[#This Row],[S2]]/Tableau1[[#This Row],[S1]]*SQRT(Tableau1[[#This Row],[rho1]]/Tableau1[[#This Row],[rho2]])*Tableau1[[#This Row],[J]]^(1/2)*Tableau1[[#This Row],[d2]]/Tableau1[[#This Row],[d1]]</f>
        <v>20.120683024145354</v>
      </c>
      <c r="V18">
        <v>0.40106832875959103</v>
      </c>
      <c r="W18">
        <v>0.2172356970367853</v>
      </c>
      <c r="X18">
        <v>0.49125924503551321</v>
      </c>
      <c r="Y18">
        <v>1.1794664292299073</v>
      </c>
      <c r="Z18">
        <v>12.01214063894524</v>
      </c>
      <c r="AA18">
        <v>28.84</v>
      </c>
      <c r="AB18">
        <f>Tableau1[[#This Row],[u2]]/Tableau1[[#This Row],[u1]]</f>
        <v>4.7949249467903572</v>
      </c>
      <c r="AC18">
        <f>ABS(Tableau1[[#This Row],[u2]]-Tableau1[[#This Row],[u1]])</f>
        <v>78.48731579371335</v>
      </c>
      <c r="AD18">
        <f>(Tableau1[[#This Row],[d1]]+0.002)/Tableau1[[#This Row],[d2]]</f>
        <v>0.8</v>
      </c>
      <c r="AE18">
        <f>Tableau1[[#This Row],[S2]]*Tableau1[[#This Row],[u2]]/(Tableau1[[#This Row],[S1]]*Tableau1[[#This Row],[u1]])*(1-Tableau1[[#This Row],[ALPHA]]^3)/(1-Tableau1[[#This Row],[ALPHA]]^4)</f>
        <v>11.087277908517315</v>
      </c>
      <c r="AF18">
        <v>1</v>
      </c>
      <c r="AG18" t="s">
        <v>40</v>
      </c>
      <c r="AH18" t="s">
        <v>47</v>
      </c>
      <c r="AI18" t="s">
        <v>42</v>
      </c>
      <c r="AJ18" t="s">
        <v>43</v>
      </c>
      <c r="AK18" t="s">
        <v>44</v>
      </c>
      <c r="AL18" t="s">
        <v>44</v>
      </c>
      <c r="AM18" t="s">
        <v>44</v>
      </c>
    </row>
    <row r="19" spans="1:39" x14ac:dyDescent="0.25">
      <c r="A19" t="s">
        <v>157</v>
      </c>
      <c r="B19">
        <v>10.056252079011474</v>
      </c>
      <c r="C19">
        <v>54.910009616962121</v>
      </c>
      <c r="D19">
        <v>0.35013030267487566</v>
      </c>
      <c r="E19">
        <v>3.9795602789914826</v>
      </c>
      <c r="F19">
        <v>0.28867513459481287</v>
      </c>
      <c r="G19">
        <v>0.79876451296094009</v>
      </c>
      <c r="H19">
        <v>8.0346875164421789E-4</v>
      </c>
      <c r="I19">
        <v>7.4597322130203255E-3</v>
      </c>
      <c r="J19">
        <v>8.3830044006431097E-5</v>
      </c>
      <c r="L19">
        <v>0.01</v>
      </c>
      <c r="M19">
        <v>1.4999999999999999E-2</v>
      </c>
      <c r="N19">
        <v>20.752979694800079</v>
      </c>
      <c r="O19">
        <v>99.417480581166046</v>
      </c>
      <c r="P19">
        <v>2</v>
      </c>
      <c r="Q19" t="s">
        <v>39</v>
      </c>
      <c r="R19">
        <v>6091.858107518422</v>
      </c>
      <c r="S19">
        <v>19141.337877307873</v>
      </c>
      <c r="T1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0.78543221342170111</v>
      </c>
      <c r="U19">
        <f>Tableau1[[#This Row],[S2]]/Tableau1[[#This Row],[S1]]*SQRT(Tableau1[[#This Row],[rho1]]/Tableau1[[#This Row],[rho2]])*Tableau1[[#This Row],[J]]^(1/2)*Tableau1[[#This Row],[d2]]/Tableau1[[#This Row],[d1]]</f>
        <v>19.88304686276712</v>
      </c>
      <c r="V19">
        <v>0.4016576633833408</v>
      </c>
      <c r="W19">
        <v>0.21823702188795324</v>
      </c>
      <c r="X19">
        <v>0.4929452071929416</v>
      </c>
      <c r="Y19">
        <v>1.1794664292299071</v>
      </c>
      <c r="Z19">
        <v>12.05336533802547</v>
      </c>
      <c r="AA19">
        <v>28.839999999999996</v>
      </c>
      <c r="AB19">
        <f>Tableau1[[#This Row],[u2]]/Tableau1[[#This Row],[u1]]</f>
        <v>4.7905159665373906</v>
      </c>
      <c r="AC19">
        <f>ABS(Tableau1[[#This Row],[u2]]-Tableau1[[#This Row],[u1]])</f>
        <v>78.664500886365971</v>
      </c>
      <c r="AD19">
        <f>(Tableau1[[#This Row],[d1]]+0.002)/Tableau1[[#This Row],[d2]]</f>
        <v>0.8</v>
      </c>
      <c r="AE19">
        <f>Tableau1[[#This Row],[S2]]*Tableau1[[#This Row],[u2]]/(Tableau1[[#This Row],[S1]]*Tableau1[[#This Row],[u1]])*(1-Tableau1[[#This Row],[ALPHA]]^3)/(1-Tableau1[[#This Row],[ALPHA]]^4)</f>
        <v>10.956331152924971</v>
      </c>
      <c r="AF19" s="1">
        <v>1</v>
      </c>
      <c r="AG19" s="1" t="s">
        <v>40</v>
      </c>
      <c r="AH19" s="1" t="s">
        <v>47</v>
      </c>
      <c r="AI19" t="s">
        <v>42</v>
      </c>
      <c r="AJ19" t="s">
        <v>42</v>
      </c>
      <c r="AK19" t="s">
        <v>44</v>
      </c>
      <c r="AL19">
        <v>4.5999999999999996</v>
      </c>
      <c r="AM19">
        <v>0.66324590348476797</v>
      </c>
    </row>
    <row r="20" spans="1:39" x14ac:dyDescent="0.25">
      <c r="A20" t="s">
        <v>115</v>
      </c>
      <c r="B20">
        <v>10.047515923457999</v>
      </c>
      <c r="C20">
        <v>55.635186680815373</v>
      </c>
      <c r="D20">
        <v>0.34950252936847176</v>
      </c>
      <c r="E20">
        <v>4.0046604165037643</v>
      </c>
      <c r="F20">
        <v>0.28867513459481287</v>
      </c>
      <c r="G20">
        <v>0.84055039462632319</v>
      </c>
      <c r="H20">
        <v>7.9826417119756559E-4</v>
      </c>
      <c r="I20">
        <v>7.4724372625350954E-3</v>
      </c>
      <c r="J20">
        <v>8.3757218434961638E-5</v>
      </c>
      <c r="K20">
        <v>7.0358969402313232E-3</v>
      </c>
      <c r="L20">
        <v>0.01</v>
      </c>
      <c r="M20">
        <v>1.4999999999999999E-2</v>
      </c>
      <c r="N20">
        <v>20.686302198185754</v>
      </c>
      <c r="O20">
        <v>99.586803551126394</v>
      </c>
      <c r="P20">
        <v>2</v>
      </c>
      <c r="Q20" t="s">
        <v>39</v>
      </c>
      <c r="R20">
        <v>6056.3447017786202</v>
      </c>
      <c r="S20">
        <v>19173.938463839069</v>
      </c>
      <c r="T2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0.82648098569206985</v>
      </c>
      <c r="U20">
        <f>Tableau1[[#This Row],[S2]]/Tableau1[[#This Row],[S1]]*SQRT(Tableau1[[#This Row],[rho1]]/Tableau1[[#This Row],[rho2]])*Tableau1[[#This Row],[J]]^(1/2)*Tableau1[[#This Row],[d2]]/Tableau1[[#This Row],[d1]]</f>
        <v>21.02638279235957</v>
      </c>
      <c r="V20">
        <v>0.40109326696776454</v>
      </c>
      <c r="W20">
        <v>0.21727808096617071</v>
      </c>
      <c r="X20">
        <v>0.49133068838331079</v>
      </c>
      <c r="Y20">
        <v>1.1794664292299071</v>
      </c>
      <c r="Z20">
        <v>12.013887552718639</v>
      </c>
      <c r="AA20">
        <v>28.839999999999996</v>
      </c>
      <c r="AB20">
        <f>Tableau1[[#This Row],[u2]]/Tableau1[[#This Row],[u1]]</f>
        <v>4.8141423535744554</v>
      </c>
      <c r="AC20">
        <f>ABS(Tableau1[[#This Row],[u2]]-Tableau1[[#This Row],[u1]])</f>
        <v>78.900501352940637</v>
      </c>
      <c r="AD20">
        <f>(Tableau1[[#This Row],[d1]]+0.002)/Tableau1[[#This Row],[d2]]</f>
        <v>0.8</v>
      </c>
      <c r="AE20">
        <f>Tableau1[[#This Row],[S2]]*Tableau1[[#This Row],[u2]]/(Tableau1[[#This Row],[S1]]*Tableau1[[#This Row],[u1]])*(1-Tableau1[[#This Row],[ALPHA]]^3)/(1-Tableau1[[#This Row],[ALPHA]]^4)</f>
        <v>11.586353661553154</v>
      </c>
      <c r="AF20">
        <v>0</v>
      </c>
      <c r="AG20" t="s">
        <v>53</v>
      </c>
      <c r="AH20" t="s">
        <v>54</v>
      </c>
      <c r="AI20" t="s">
        <v>42</v>
      </c>
      <c r="AJ20" t="s">
        <v>43</v>
      </c>
      <c r="AK20" t="s">
        <v>44</v>
      </c>
      <c r="AL20" t="s">
        <v>44</v>
      </c>
      <c r="AM20" t="s">
        <v>44</v>
      </c>
    </row>
    <row r="21" spans="1:39" x14ac:dyDescent="0.25">
      <c r="A21" t="s">
        <v>51</v>
      </c>
      <c r="B21">
        <v>10.044681958020115</v>
      </c>
      <c r="C21">
        <v>55.634757654279831</v>
      </c>
      <c r="D21">
        <v>0.35034458691688586</v>
      </c>
      <c r="E21">
        <v>4.0191432517693162</v>
      </c>
      <c r="F21">
        <v>0.59587679629710499</v>
      </c>
      <c r="G21">
        <v>0</v>
      </c>
      <c r="H21">
        <v>7.9546504235508458E-4</v>
      </c>
      <c r="I21">
        <v>7.4532317161560072E-3</v>
      </c>
      <c r="J21">
        <v>8.373359418156149E-5</v>
      </c>
      <c r="K21">
        <v>0</v>
      </c>
      <c r="L21">
        <v>0.01</v>
      </c>
      <c r="M21">
        <v>1.4999999999999999E-2</v>
      </c>
      <c r="N21">
        <v>20.652681332326591</v>
      </c>
      <c r="O21">
        <v>99.330847039596236</v>
      </c>
      <c r="P21">
        <v>2</v>
      </c>
      <c r="Q21" t="s">
        <v>39</v>
      </c>
      <c r="R21">
        <v>6037.3774309456321</v>
      </c>
      <c r="S21">
        <v>19124.657894260621</v>
      </c>
      <c r="T2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8.6238683580046101E-3</v>
      </c>
      <c r="U21">
        <f>Tableau1[[#This Row],[S2]]/Tableau1[[#This Row],[S1]]*SQRT(Tableau1[[#This Row],[rho1]]/Tableau1[[#This Row],[rho2]])*Tableau1[[#This Row],[J]]^(1/2)*Tableau1[[#This Row],[d2]]/Tableau1[[#This Row],[d1]]</f>
        <v>0</v>
      </c>
      <c r="V21">
        <v>0.40077033807136547</v>
      </c>
      <c r="W21">
        <v>0.21672916255027691</v>
      </c>
      <c r="X21">
        <v>0.49040486902570524</v>
      </c>
      <c r="Y21">
        <v>1.1794664292299075</v>
      </c>
      <c r="Z21">
        <v>11.991249663575175</v>
      </c>
      <c r="AA21">
        <v>28.840000000000003</v>
      </c>
      <c r="AB21">
        <f>Tableau1[[#This Row],[u2]]/Tableau1[[#This Row],[u1]]</f>
        <v>4.8095860019937806</v>
      </c>
      <c r="AC21">
        <f>ABS(Tableau1[[#This Row],[u2]]-Tableau1[[#This Row],[u1]])</f>
        <v>78.678165707269642</v>
      </c>
      <c r="AD21">
        <f>(Tableau1[[#This Row],[d1]]+0.002)/Tableau1[[#This Row],[d2]]</f>
        <v>0.8</v>
      </c>
      <c r="AE21">
        <f>Tableau1[[#This Row],[S2]]*Tableau1[[#This Row],[u2]]/(Tableau1[[#This Row],[S1]]*Tableau1[[#This Row],[u1]])*(1-Tableau1[[#This Row],[ALPHA]]^3)/(1-Tableau1[[#This Row],[ALPHA]]^4)</f>
        <v>0</v>
      </c>
      <c r="AF21">
        <v>1</v>
      </c>
      <c r="AG21" t="s">
        <v>40</v>
      </c>
      <c r="AH21" t="s">
        <v>41</v>
      </c>
      <c r="AI21" t="s">
        <v>42</v>
      </c>
      <c r="AJ21" t="s">
        <v>43</v>
      </c>
      <c r="AK21" t="s">
        <v>44</v>
      </c>
      <c r="AL21" t="s">
        <v>44</v>
      </c>
      <c r="AM21" t="s">
        <v>44</v>
      </c>
    </row>
    <row r="22" spans="1:39" x14ac:dyDescent="0.25">
      <c r="A22" t="s">
        <v>52</v>
      </c>
      <c r="B22">
        <v>10.047693046297868</v>
      </c>
      <c r="C22">
        <v>54.734339490668845</v>
      </c>
      <c r="D22">
        <v>0.35289524921638449</v>
      </c>
      <c r="E22">
        <v>4.0179928212502585</v>
      </c>
      <c r="F22">
        <v>0.59587679629710499</v>
      </c>
      <c r="G22">
        <v>0.77026714175523336</v>
      </c>
      <c r="H22">
        <v>7.9590734225914875E-4</v>
      </c>
      <c r="I22">
        <v>7.3962295722961417E-3</v>
      </c>
      <c r="J22">
        <v>8.3758694950799157E-5</v>
      </c>
      <c r="K22">
        <v>6.3818294000625615E-3</v>
      </c>
      <c r="L22">
        <v>0.01</v>
      </c>
      <c r="M22">
        <v>1.4999999999999999E-2</v>
      </c>
      <c r="N22">
        <v>20.661072877872996</v>
      </c>
      <c r="O22">
        <v>98.571167017787758</v>
      </c>
      <c r="P22">
        <v>2</v>
      </c>
      <c r="Q22" t="s">
        <v>39</v>
      </c>
      <c r="R22">
        <v>6040.5540132420356</v>
      </c>
      <c r="S22">
        <v>18978.39295281297</v>
      </c>
      <c r="T2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0.76203911778894695</v>
      </c>
      <c r="U22">
        <f>Tableau1[[#This Row],[S2]]/Tableau1[[#This Row],[S1]]*SQRT(Tableau1[[#This Row],[rho1]]/Tableau1[[#This Row],[rho2]])*Tableau1[[#This Row],[J]]^(1/2)*Tableau1[[#This Row],[d2]]/Tableau1[[#This Row],[d1]]</f>
        <v>9.2506699377731678</v>
      </c>
      <c r="V22">
        <v>0.40079591720429042</v>
      </c>
      <c r="W22">
        <v>0.21677264875366759</v>
      </c>
      <c r="X22">
        <v>0.49047825739712353</v>
      </c>
      <c r="Y22">
        <v>1.1794664292299073</v>
      </c>
      <c r="Z22">
        <v>11.993044136549777</v>
      </c>
      <c r="AA22">
        <v>28.84</v>
      </c>
      <c r="AB22">
        <f>Tableau1[[#This Row],[u2]]/Tableau1[[#This Row],[u1]]</f>
        <v>4.7708639140106168</v>
      </c>
      <c r="AC22">
        <f>ABS(Tableau1[[#This Row],[u2]]-Tableau1[[#This Row],[u1]])</f>
        <v>77.910094139914762</v>
      </c>
      <c r="AD22">
        <f>(Tableau1[[#This Row],[d1]]+0.002)/Tableau1[[#This Row],[d2]]</f>
        <v>0.8</v>
      </c>
      <c r="AE22">
        <f>Tableau1[[#This Row],[S2]]*Tableau1[[#This Row],[u2]]/(Tableau1[[#This Row],[S1]]*Tableau1[[#This Row],[u1]])*(1-Tableau1[[#This Row],[ALPHA]]^3)/(1-Tableau1[[#This Row],[ALPHA]]^4)</f>
        <v>5.0974784661622703</v>
      </c>
      <c r="AF22">
        <v>0</v>
      </c>
      <c r="AG22" t="s">
        <v>53</v>
      </c>
      <c r="AH22" t="s">
        <v>54</v>
      </c>
      <c r="AI22" t="s">
        <v>42</v>
      </c>
      <c r="AJ22" t="s">
        <v>43</v>
      </c>
      <c r="AK22" t="s">
        <v>44</v>
      </c>
      <c r="AL22" t="s">
        <v>44</v>
      </c>
      <c r="AM22" t="s">
        <v>44</v>
      </c>
    </row>
    <row r="23" spans="1:39" x14ac:dyDescent="0.25">
      <c r="A23" t="s">
        <v>55</v>
      </c>
      <c r="B23">
        <v>10.055806415091809</v>
      </c>
      <c r="C23">
        <v>54.373266790731115</v>
      </c>
      <c r="D23">
        <v>0.35243569321481599</v>
      </c>
      <c r="E23">
        <v>3.9920157049931038</v>
      </c>
      <c r="F23">
        <v>0.86602540378443837</v>
      </c>
      <c r="G23">
        <v>0</v>
      </c>
      <c r="H23">
        <v>8.0118791022759672E-4</v>
      </c>
      <c r="I23">
        <v>7.408145437240601E-3</v>
      </c>
      <c r="J23">
        <v>8.3826328902065759E-5</v>
      </c>
      <c r="K23">
        <v>0</v>
      </c>
      <c r="L23">
        <v>0.01</v>
      </c>
      <c r="M23">
        <v>1.4999999999999999E-2</v>
      </c>
      <c r="N23">
        <v>20.727822576427002</v>
      </c>
      <c r="O23">
        <v>98.729972352603355</v>
      </c>
      <c r="P23">
        <v>2</v>
      </c>
      <c r="Q23" t="s">
        <v>39</v>
      </c>
      <c r="R23">
        <v>6076.5309779533954</v>
      </c>
      <c r="S23">
        <v>19008.968527175293</v>
      </c>
      <c r="T2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1.2817943983235739E-2</v>
      </c>
      <c r="U23">
        <f>Tableau1[[#This Row],[S2]]/Tableau1[[#This Row],[S1]]*SQRT(Tableau1[[#This Row],[rho1]]/Tableau1[[#This Row],[rho2]])*Tableau1[[#This Row],[J]]^(1/2)*Tableau1[[#This Row],[d2]]/Tableau1[[#This Row],[d1]]</f>
        <v>0</v>
      </c>
      <c r="V23">
        <v>0.40137683919899791</v>
      </c>
      <c r="W23">
        <v>0.21775995382839303</v>
      </c>
      <c r="X23">
        <v>0.49214244588605699</v>
      </c>
      <c r="Y23">
        <v>1.1794664292299073</v>
      </c>
      <c r="Z23">
        <v>12.033736431668494</v>
      </c>
      <c r="AA23">
        <v>28.84</v>
      </c>
      <c r="AB23">
        <f>Tableau1[[#This Row],[u2]]/Tableau1[[#This Row],[u1]]</f>
        <v>4.7631617835674334</v>
      </c>
      <c r="AC23">
        <f>ABS(Tableau1[[#This Row],[u2]]-Tableau1[[#This Row],[u1]])</f>
        <v>78.002149776176353</v>
      </c>
      <c r="AD23">
        <f>(Tableau1[[#This Row],[d1]]+0.002)/Tableau1[[#This Row],[d2]]</f>
        <v>0.8</v>
      </c>
      <c r="AE23">
        <f>Tableau1[[#This Row],[S2]]*Tableau1[[#This Row],[u2]]/(Tableau1[[#This Row],[S1]]*Tableau1[[#This Row],[u1]])*(1-Tableau1[[#This Row],[ALPHA]]^3)/(1-Tableau1[[#This Row],[ALPHA]]^4)</f>
        <v>0</v>
      </c>
      <c r="AF23">
        <v>1</v>
      </c>
      <c r="AG23" t="s">
        <v>40</v>
      </c>
      <c r="AH23" t="s">
        <v>41</v>
      </c>
      <c r="AI23" t="s">
        <v>42</v>
      </c>
      <c r="AJ23" t="s">
        <v>43</v>
      </c>
      <c r="AK23" t="s">
        <v>44</v>
      </c>
      <c r="AL23" t="s">
        <v>44</v>
      </c>
      <c r="AM23" t="s">
        <v>44</v>
      </c>
    </row>
    <row r="24" spans="1:39" x14ac:dyDescent="0.25">
      <c r="A24" t="s">
        <v>55</v>
      </c>
      <c r="B24">
        <v>10.060028795048661</v>
      </c>
      <c r="C24">
        <v>54.164155431716523</v>
      </c>
      <c r="D24">
        <v>0.35255581308907447</v>
      </c>
      <c r="E24">
        <v>3.9835519497426479</v>
      </c>
      <c r="F24">
        <v>0.86602540378443837</v>
      </c>
      <c r="G24">
        <v>0</v>
      </c>
      <c r="H24">
        <v>8.0304912536290486E-4</v>
      </c>
      <c r="I24">
        <v>7.4069616603851321E-3</v>
      </c>
      <c r="J24">
        <v>8.3861527134450309E-5</v>
      </c>
      <c r="K24">
        <v>0</v>
      </c>
      <c r="L24">
        <v>0.01</v>
      </c>
      <c r="M24">
        <v>1.4999999999999999E-2</v>
      </c>
      <c r="N24">
        <v>20.75298637322469</v>
      </c>
      <c r="O24">
        <v>98.714195899886235</v>
      </c>
      <c r="P24">
        <v>2</v>
      </c>
      <c r="Q24" t="s">
        <v>39</v>
      </c>
      <c r="R24">
        <v>6089.3080881889418</v>
      </c>
      <c r="S24">
        <v>19005.93100892198</v>
      </c>
      <c r="T2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1.2866327366910449E-2</v>
      </c>
      <c r="U24">
        <f>Tableau1[[#This Row],[S2]]/Tableau1[[#This Row],[S1]]*SQRT(Tableau1[[#This Row],[rho1]]/Tableau1[[#This Row],[rho2]])*Tableau1[[#This Row],[J]]^(1/2)*Tableau1[[#This Row],[d2]]/Tableau1[[#This Row],[d1]]</f>
        <v>0</v>
      </c>
      <c r="V24">
        <v>0.40156750335465652</v>
      </c>
      <c r="W24">
        <v>0.21808387141280342</v>
      </c>
      <c r="X24">
        <v>0.49268759897429604</v>
      </c>
      <c r="Y24">
        <v>1.1794664292299073</v>
      </c>
      <c r="Z24">
        <v>12.047066370253585</v>
      </c>
      <c r="AA24">
        <v>28.84</v>
      </c>
      <c r="AB24">
        <f>Tableau1[[#This Row],[u2]]/Tableau1[[#This Row],[u1]]</f>
        <v>4.7566260645381799</v>
      </c>
      <c r="AC24">
        <f>ABS(Tableau1[[#This Row],[u2]]-Tableau1[[#This Row],[u1]])</f>
        <v>77.961209526661548</v>
      </c>
      <c r="AD24">
        <f>(Tableau1[[#This Row],[d1]]+0.002)/Tableau1[[#This Row],[d2]]</f>
        <v>0.8</v>
      </c>
      <c r="AE24">
        <f>Tableau1[[#This Row],[S2]]*Tableau1[[#This Row],[u2]]/(Tableau1[[#This Row],[S1]]*Tableau1[[#This Row],[u1]])*(1-Tableau1[[#This Row],[ALPHA]]^3)/(1-Tableau1[[#This Row],[ALPHA]]^4)</f>
        <v>0</v>
      </c>
      <c r="AF24">
        <v>1</v>
      </c>
      <c r="AG24" t="s">
        <v>40</v>
      </c>
      <c r="AH24" t="s">
        <v>41</v>
      </c>
      <c r="AI24" t="s">
        <v>42</v>
      </c>
      <c r="AJ24" t="s">
        <v>43</v>
      </c>
      <c r="AK24" t="s">
        <v>44</v>
      </c>
      <c r="AL24" t="s">
        <v>44</v>
      </c>
      <c r="AM24" t="s">
        <v>44</v>
      </c>
    </row>
    <row r="25" spans="1:39" x14ac:dyDescent="0.25">
      <c r="A25" t="s">
        <v>56</v>
      </c>
      <c r="B25">
        <v>10.05562929225194</v>
      </c>
      <c r="C25">
        <v>55.073043929103029</v>
      </c>
      <c r="D25">
        <v>0.3497107474759969</v>
      </c>
      <c r="E25">
        <v>3.9804733155512788</v>
      </c>
      <c r="F25">
        <v>0.86602540378443837</v>
      </c>
      <c r="G25">
        <v>0.74134175651409973</v>
      </c>
      <c r="H25">
        <v>8.0325393287252584E-4</v>
      </c>
      <c r="I25">
        <v>7.4692476415634161E-3</v>
      </c>
      <c r="J25">
        <v>8.3824852386228253E-5</v>
      </c>
      <c r="K25">
        <v>6.2028139781951904E-3</v>
      </c>
      <c r="L25">
        <v>0.01</v>
      </c>
      <c r="M25">
        <v>1.4999999999999999E-2</v>
      </c>
      <c r="N25">
        <v>20.749912629156132</v>
      </c>
      <c r="O25">
        <v>99.544294775749734</v>
      </c>
      <c r="P25">
        <v>2</v>
      </c>
      <c r="Q25" t="s">
        <v>39</v>
      </c>
      <c r="R25">
        <v>6090.3738622808414</v>
      </c>
      <c r="S25">
        <v>19165.754039656542</v>
      </c>
      <c r="T2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0.73774617467808523</v>
      </c>
      <c r="U25">
        <f>Tableau1[[#This Row],[S2]]/Tableau1[[#This Row],[S1]]*SQRT(Tableau1[[#This Row],[rho1]]/Tableau1[[#This Row],[rho2]])*Tableau1[[#This Row],[J]]^(1/2)*Tableau1[[#This Row],[d2]]/Tableau1[[#This Row],[d1]]</f>
        <v>6.1599784360559342</v>
      </c>
      <c r="V25">
        <v>0.40163702703699966</v>
      </c>
      <c r="W25">
        <v>0.21820196914776513</v>
      </c>
      <c r="X25">
        <v>0.49288625454753882</v>
      </c>
      <c r="Y25">
        <v>1.1794664292299073</v>
      </c>
      <c r="Z25">
        <v>12.051923843590968</v>
      </c>
      <c r="AA25">
        <v>28.84</v>
      </c>
      <c r="AB25">
        <f>Tableau1[[#This Row],[u2]]/Tableau1[[#This Row],[u1]]</f>
        <v>4.7973356107474876</v>
      </c>
      <c r="AC25">
        <f>ABS(Tableau1[[#This Row],[u2]]-Tableau1[[#This Row],[u1]])</f>
        <v>78.794382146593605</v>
      </c>
      <c r="AD25">
        <f>(Tableau1[[#This Row],[d1]]+0.002)/Tableau1[[#This Row],[d2]]</f>
        <v>0.8</v>
      </c>
      <c r="AE25">
        <f>Tableau1[[#This Row],[S2]]*Tableau1[[#This Row],[u2]]/(Tableau1[[#This Row],[S1]]*Tableau1[[#This Row],[u1]])*(1-Tableau1[[#This Row],[ALPHA]]^3)/(1-Tableau1[[#This Row],[ALPHA]]^4)</f>
        <v>3.394387394755304</v>
      </c>
      <c r="AF25">
        <v>0</v>
      </c>
      <c r="AG25" t="s">
        <v>53</v>
      </c>
      <c r="AH25" t="s">
        <v>54</v>
      </c>
      <c r="AI25" t="s">
        <v>42</v>
      </c>
      <c r="AJ25" t="s">
        <v>43</v>
      </c>
      <c r="AK25" t="s">
        <v>44</v>
      </c>
      <c r="AL25" t="s">
        <v>44</v>
      </c>
      <c r="AM25" t="s">
        <v>44</v>
      </c>
    </row>
    <row r="26" spans="1:39" x14ac:dyDescent="0.25">
      <c r="A26" t="s">
        <v>56</v>
      </c>
      <c r="B26">
        <v>10.054789387172571</v>
      </c>
      <c r="C26">
        <v>54.941854808499492</v>
      </c>
      <c r="D26">
        <v>0.34996910655332392</v>
      </c>
      <c r="E26">
        <v>3.9783906437464815</v>
      </c>
      <c r="F26">
        <v>0.86602540378443837</v>
      </c>
      <c r="G26">
        <v>0.74144151943394965</v>
      </c>
      <c r="H26">
        <v>8.0356342722506932E-4</v>
      </c>
      <c r="I26">
        <v>7.4622025251388545E-3</v>
      </c>
      <c r="J26">
        <v>8.3817850843385873E-5</v>
      </c>
      <c r="K26">
        <v>6.1977973127365108E-3</v>
      </c>
      <c r="L26">
        <v>0.01</v>
      </c>
      <c r="M26">
        <v>1.4999999999999999E-2</v>
      </c>
      <c r="N26">
        <v>20.752244747344655</v>
      </c>
      <c r="O26">
        <v>99.450402970343063</v>
      </c>
      <c r="P26">
        <v>2</v>
      </c>
      <c r="Q26" t="s">
        <v>39</v>
      </c>
      <c r="R26">
        <v>6092.3907509806622</v>
      </c>
      <c r="S26">
        <v>19147.676587273989</v>
      </c>
      <c r="T2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0.7378353483633594</v>
      </c>
      <c r="U26">
        <f>Tableau1[[#This Row],[S2]]/Tableau1[[#This Row],[S1]]*SQRT(Tableau1[[#This Row],[rho1]]/Tableau1[[#This Row],[rho2]])*Tableau1[[#This Row],[J]]^(1/2)*Tableau1[[#This Row],[d2]]/Tableau1[[#This Row],[d1]]</f>
        <v>6.1543047219671765</v>
      </c>
      <c r="V26">
        <v>0.40168411110121482</v>
      </c>
      <c r="W26">
        <v>0.21828194471873116</v>
      </c>
      <c r="X26">
        <v>0.49302075255101652</v>
      </c>
      <c r="Y26">
        <v>1.1794664292299073</v>
      </c>
      <c r="Z26">
        <v>12.055212553065159</v>
      </c>
      <c r="AA26">
        <v>28.84</v>
      </c>
      <c r="AB26">
        <f>Tableau1[[#This Row],[u2]]/Tableau1[[#This Row],[u1]]</f>
        <v>4.7922720737508744</v>
      </c>
      <c r="AC26">
        <f>ABS(Tableau1[[#This Row],[u2]]-Tableau1[[#This Row],[u1]])</f>
        <v>78.698158222998416</v>
      </c>
      <c r="AD26">
        <f>(Tableau1[[#This Row],[d1]]+0.002)/Tableau1[[#This Row],[d2]]</f>
        <v>0.8</v>
      </c>
      <c r="AE26">
        <f>Tableau1[[#This Row],[S2]]*Tableau1[[#This Row],[u2]]/(Tableau1[[#This Row],[S1]]*Tableau1[[#This Row],[u1]])*(1-Tableau1[[#This Row],[ALPHA]]^3)/(1-Tableau1[[#This Row],[ALPHA]]^4)</f>
        <v>3.3912609579042248</v>
      </c>
      <c r="AF26">
        <v>0</v>
      </c>
      <c r="AG26" t="s">
        <v>53</v>
      </c>
      <c r="AH26" t="s">
        <v>54</v>
      </c>
      <c r="AI26" t="s">
        <v>42</v>
      </c>
      <c r="AJ26" t="s">
        <v>43</v>
      </c>
      <c r="AK26" t="s">
        <v>44</v>
      </c>
      <c r="AL26" t="s">
        <v>44</v>
      </c>
      <c r="AM26" t="s">
        <v>44</v>
      </c>
    </row>
    <row r="27" spans="1:39" x14ac:dyDescent="0.25">
      <c r="A27" t="s">
        <v>57</v>
      </c>
      <c r="B27">
        <v>10.062714205846653</v>
      </c>
      <c r="C27">
        <v>56.492473433278981</v>
      </c>
      <c r="D27">
        <v>0.34560536447886264</v>
      </c>
      <c r="E27">
        <v>3.9792992108919445</v>
      </c>
      <c r="F27">
        <v>0.86602540378443837</v>
      </c>
      <c r="G27">
        <v>0.8927021164749771</v>
      </c>
      <c r="H27">
        <v>8.0403230235917588E-4</v>
      </c>
      <c r="I27">
        <v>7.5716381740570052E-3</v>
      </c>
      <c r="J27">
        <v>8.3883913019728679E-5</v>
      </c>
      <c r="K27">
        <v>7.5716381740570052E-3</v>
      </c>
      <c r="L27">
        <v>0.01</v>
      </c>
      <c r="M27">
        <v>1.4999999999999999E-2</v>
      </c>
      <c r="N27">
        <v>20.766825510942123</v>
      </c>
      <c r="O27">
        <v>100.90887576675496</v>
      </c>
      <c r="P27">
        <v>2</v>
      </c>
      <c r="Q27" t="s">
        <v>39</v>
      </c>
      <c r="R27">
        <v>6096.0895621315085</v>
      </c>
      <c r="S27">
        <v>19428.483548160413</v>
      </c>
      <c r="T2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0.88595790684196485</v>
      </c>
      <c r="U27">
        <f>Tableau1[[#This Row],[S2]]/Tableau1[[#This Row],[S1]]*SQRT(Tableau1[[#This Row],[rho1]]/Tableau1[[#This Row],[rho2]])*Tableau1[[#This Row],[J]]^(1/2)*Tableau1[[#This Row],[d2]]/Tableau1[[#This Row],[d1]]</f>
        <v>7.5132258771059739</v>
      </c>
      <c r="V27">
        <v>0.40166356549344123</v>
      </c>
      <c r="W27">
        <v>0.21824704703364761</v>
      </c>
      <c r="X27">
        <v>0.49296206686417077</v>
      </c>
      <c r="Y27">
        <v>1.1794664292299073</v>
      </c>
      <c r="Z27">
        <v>12.053777586230419</v>
      </c>
      <c r="AA27">
        <v>28.84</v>
      </c>
      <c r="AB27">
        <f>Tableau1[[#This Row],[u2]]/Tableau1[[#This Row],[u1]]</f>
        <v>4.859138230519906</v>
      </c>
      <c r="AC27">
        <f>ABS(Tableau1[[#This Row],[u2]]-Tableau1[[#This Row],[u1]])</f>
        <v>80.142050255812833</v>
      </c>
      <c r="AD27">
        <f>(Tableau1[[#This Row],[d1]]+0.002)/Tableau1[[#This Row],[d2]]</f>
        <v>0.8</v>
      </c>
      <c r="AE27">
        <f>Tableau1[[#This Row],[S2]]*Tableau1[[#This Row],[u2]]/(Tableau1[[#This Row],[S1]]*Tableau1[[#This Row],[u1]])*(1-Tableau1[[#This Row],[ALPHA]]^3)/(1-Tableau1[[#This Row],[ALPHA]]^4)</f>
        <v>4.1400792999409619</v>
      </c>
      <c r="AF27">
        <v>0</v>
      </c>
      <c r="AG27" t="s">
        <v>58</v>
      </c>
      <c r="AH27" t="s">
        <v>59</v>
      </c>
      <c r="AI27" t="s">
        <v>42</v>
      </c>
      <c r="AJ27" t="s">
        <v>43</v>
      </c>
      <c r="AK27" t="s">
        <v>44</v>
      </c>
      <c r="AL27" t="s">
        <v>44</v>
      </c>
      <c r="AM27" t="s">
        <v>44</v>
      </c>
    </row>
    <row r="28" spans="1:39" x14ac:dyDescent="0.25">
      <c r="A28" t="s">
        <v>57</v>
      </c>
      <c r="B28">
        <v>10.059360299169157</v>
      </c>
      <c r="C28">
        <v>54.299686486159196</v>
      </c>
      <c r="D28">
        <v>0.35185714845607746</v>
      </c>
      <c r="E28">
        <v>3.9785122203608685</v>
      </c>
      <c r="F28">
        <v>0.86602540378443837</v>
      </c>
      <c r="G28">
        <v>0.8927021164749771</v>
      </c>
      <c r="H28">
        <v>8.0390672333013609E-4</v>
      </c>
      <c r="I28">
        <v>7.4216931056976304E-3</v>
      </c>
      <c r="J28">
        <v>8.3855954477902276E-5</v>
      </c>
      <c r="K28">
        <v>7.4216931056976304E-3</v>
      </c>
      <c r="L28">
        <v>0.01</v>
      </c>
      <c r="M28">
        <v>1.4999999999999999E-2</v>
      </c>
      <c r="N28">
        <v>20.761441191135873</v>
      </c>
      <c r="O28">
        <v>98.910525089254676</v>
      </c>
      <c r="P28">
        <v>2</v>
      </c>
      <c r="Q28" t="s">
        <v>39</v>
      </c>
      <c r="R28">
        <v>6095.0127818353158</v>
      </c>
      <c r="S28">
        <v>19043.731236074291</v>
      </c>
      <c r="T2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0.8856916096706956</v>
      </c>
      <c r="U28">
        <f>Tableau1[[#This Row],[S2]]/Tableau1[[#This Row],[S1]]*SQRT(Tableau1[[#This Row],[rho1]]/Tableau1[[#This Row],[rho2]])*Tableau1[[#This Row],[J]]^(1/2)*Tableau1[[#This Row],[d2]]/Tableau1[[#This Row],[d1]]</f>
        <v>7.3663474878287598</v>
      </c>
      <c r="V28">
        <v>0.40168136140325089</v>
      </c>
      <c r="W28">
        <v>0.21827727426856208</v>
      </c>
      <c r="X28">
        <v>0.49301289876707188</v>
      </c>
      <c r="Y28">
        <v>1.1794664292299071</v>
      </c>
      <c r="Z28">
        <v>12.055020514425186</v>
      </c>
      <c r="AA28">
        <v>28.839999999999996</v>
      </c>
      <c r="AB28">
        <f>Tableau1[[#This Row],[u2]]/Tableau1[[#This Row],[u1]]</f>
        <v>4.7641454260643847</v>
      </c>
      <c r="AC28">
        <f>ABS(Tableau1[[#This Row],[u2]]-Tableau1[[#This Row],[u1]])</f>
        <v>78.149083898118803</v>
      </c>
      <c r="AD28">
        <f>(Tableau1[[#This Row],[d1]]+0.002)/Tableau1[[#This Row],[d2]]</f>
        <v>0.8</v>
      </c>
      <c r="AE28">
        <f>Tableau1[[#This Row],[S2]]*Tableau1[[#This Row],[u2]]/(Tableau1[[#This Row],[S1]]*Tableau1[[#This Row],[u1]])*(1-Tableau1[[#This Row],[ALPHA]]^3)/(1-Tableau1[[#This Row],[ALPHA]]^4)</f>
        <v>4.0591436021459302</v>
      </c>
      <c r="AF28">
        <v>0</v>
      </c>
      <c r="AG28" t="s">
        <v>58</v>
      </c>
      <c r="AH28" t="s">
        <v>59</v>
      </c>
      <c r="AI28" t="s">
        <v>42</v>
      </c>
      <c r="AJ28" t="s">
        <v>43</v>
      </c>
      <c r="AK28" t="s">
        <v>44</v>
      </c>
      <c r="AL28" t="s">
        <v>44</v>
      </c>
      <c r="AM28" t="s">
        <v>44</v>
      </c>
    </row>
    <row r="29" spans="1:39" x14ac:dyDescent="0.25">
      <c r="A29" t="s">
        <v>162</v>
      </c>
      <c r="B29">
        <v>10.04077954190303</v>
      </c>
      <c r="C29">
        <v>96.634077659201751</v>
      </c>
      <c r="D29">
        <v>0.34930341031998657</v>
      </c>
      <c r="E29">
        <v>6.0122670462508649</v>
      </c>
      <c r="F29">
        <v>0</v>
      </c>
      <c r="G29">
        <v>0.79720806667625022</v>
      </c>
      <c r="H29">
        <v>5.593019114015301E-4</v>
      </c>
      <c r="I29">
        <v>7.7105182170867917E-3</v>
      </c>
      <c r="J29">
        <v>8.370106320359312E-5</v>
      </c>
      <c r="L29">
        <v>0.01</v>
      </c>
      <c r="M29">
        <v>1.4999999999999999E-2</v>
      </c>
      <c r="N29">
        <v>18.09860169841545</v>
      </c>
      <c r="O29">
        <v>102.75976043483006</v>
      </c>
      <c r="P29">
        <v>2</v>
      </c>
      <c r="Q29" t="s">
        <v>39</v>
      </c>
      <c r="R29">
        <v>4460.3242351440567</v>
      </c>
      <c r="S29">
        <v>19784.843502128766</v>
      </c>
      <c r="T2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0.78715165398056219</v>
      </c>
      <c r="U29" t="e">
        <f>Tableau1[[#This Row],[S2]]/Tableau1[[#This Row],[S1]]*SQRT(Tableau1[[#This Row],[rho1]]/Tableau1[[#This Row],[rho2]])*Tableau1[[#This Row],[J]]^(1/2)*Tableau1[[#This Row],[d2]]/Tableau1[[#This Row],[d1]]</f>
        <v>#DIV/0!</v>
      </c>
      <c r="V29">
        <v>0.36961279392305169</v>
      </c>
      <c r="W29">
        <v>0.16291746372618138</v>
      </c>
      <c r="X29">
        <v>0.39346979557251527</v>
      </c>
      <c r="Y29">
        <v>1.1794664292299073</v>
      </c>
      <c r="Z29">
        <v>9.6210189820497192</v>
      </c>
      <c r="AA29">
        <v>28.84</v>
      </c>
      <c r="AB29">
        <f>Tableau1[[#This Row],[u2]]/Tableau1[[#This Row],[u1]]</f>
        <v>5.6777734626773277</v>
      </c>
      <c r="AC29">
        <f>ABS(Tableau1[[#This Row],[u2]]-Tableau1[[#This Row],[u1]])</f>
        <v>84.661158736414606</v>
      </c>
      <c r="AD29">
        <f>(Tableau1[[#This Row],[d1]]+0.002)/Tableau1[[#This Row],[d2]]</f>
        <v>0.8</v>
      </c>
      <c r="AE29" t="e">
        <f>Tableau1[[#This Row],[S2]]*Tableau1[[#This Row],[u2]]/(Tableau1[[#This Row],[S1]]*Tableau1[[#This Row],[u1]])*(1-Tableau1[[#This Row],[ALPHA]]^3)/(1-Tableau1[[#This Row],[ALPHA]]^4)</f>
        <v>#DIV/0!</v>
      </c>
      <c r="AF29" s="1">
        <v>1</v>
      </c>
      <c r="AG29" s="1" t="s">
        <v>40</v>
      </c>
      <c r="AH29" s="1" t="s">
        <v>47</v>
      </c>
      <c r="AI29" t="s">
        <v>42</v>
      </c>
      <c r="AJ29" t="s">
        <v>42</v>
      </c>
      <c r="AK29" t="s">
        <v>44</v>
      </c>
      <c r="AL29">
        <v>5.5</v>
      </c>
      <c r="AM29">
        <v>0.7950376339821178</v>
      </c>
    </row>
    <row r="30" spans="1:39" x14ac:dyDescent="0.25">
      <c r="A30" t="s">
        <v>116</v>
      </c>
      <c r="B30">
        <v>10.021753120717236</v>
      </c>
      <c r="C30">
        <v>95.798030324013695</v>
      </c>
      <c r="D30">
        <v>0.34950958344434802</v>
      </c>
      <c r="E30">
        <v>5.9768550092832156</v>
      </c>
      <c r="F30">
        <v>0.28867513459481287</v>
      </c>
      <c r="G30">
        <v>0</v>
      </c>
      <c r="H30">
        <v>5.6105461140408118E-4</v>
      </c>
      <c r="I30">
        <v>7.6882751321792585E-3</v>
      </c>
      <c r="J30">
        <v>8.3542456824918599E-5</v>
      </c>
      <c r="K30">
        <v>0</v>
      </c>
      <c r="L30">
        <v>0.01</v>
      </c>
      <c r="M30">
        <v>1.4999999999999999E-2</v>
      </c>
      <c r="N30">
        <v>18.094667778507858</v>
      </c>
      <c r="O30">
        <v>102.46332198386258</v>
      </c>
      <c r="P30">
        <v>2</v>
      </c>
      <c r="Q30" t="s">
        <v>39</v>
      </c>
      <c r="R30">
        <v>4470.5710242045443</v>
      </c>
      <c r="S30">
        <v>19727.768745087811</v>
      </c>
      <c r="T3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2.448586430909297E-3</v>
      </c>
      <c r="U30">
        <f>Tableau1[[#This Row],[S2]]/Tableau1[[#This Row],[S1]]*SQRT(Tableau1[[#This Row],[rho1]]/Tableau1[[#This Row],[rho2]])*Tableau1[[#This Row],[J]]^(1/2)*Tableau1[[#This Row],[d2]]/Tableau1[[#This Row],[d1]]</f>
        <v>0</v>
      </c>
      <c r="V30">
        <v>0.37000416163839134</v>
      </c>
      <c r="W30">
        <v>0.16360398515967933</v>
      </c>
      <c r="X30">
        <v>0.39478863427610505</v>
      </c>
      <c r="Y30">
        <v>1.1794664292299073</v>
      </c>
      <c r="Z30">
        <v>9.6532668759014868</v>
      </c>
      <c r="AA30">
        <v>28.84</v>
      </c>
      <c r="AB30">
        <f>Tableau1[[#This Row],[u2]]/Tableau1[[#This Row],[u1]]</f>
        <v>5.6626252130235031</v>
      </c>
      <c r="AC30">
        <f>ABS(Tableau1[[#This Row],[u2]]-Tableau1[[#This Row],[u1]])</f>
        <v>84.36865420535473</v>
      </c>
      <c r="AD30">
        <f>(Tableau1[[#This Row],[d1]]+0.002)/Tableau1[[#This Row],[d2]]</f>
        <v>0.8</v>
      </c>
      <c r="AE30">
        <f>Tableau1[[#This Row],[S2]]*Tableau1[[#This Row],[u2]]/(Tableau1[[#This Row],[S1]]*Tableau1[[#This Row],[u1]])*(1-Tableau1[[#This Row],[ALPHA]]^3)/(1-Tableau1[[#This Row],[ALPHA]]^4)</f>
        <v>0</v>
      </c>
      <c r="AF30">
        <v>0</v>
      </c>
      <c r="AG30" t="s">
        <v>53</v>
      </c>
      <c r="AH30" t="s">
        <v>61</v>
      </c>
      <c r="AI30" t="s">
        <v>42</v>
      </c>
      <c r="AJ30" t="s">
        <v>43</v>
      </c>
      <c r="AK30" t="s">
        <v>44</v>
      </c>
      <c r="AL30" t="s">
        <v>44</v>
      </c>
      <c r="AM30" t="s">
        <v>44</v>
      </c>
    </row>
    <row r="31" spans="1:39" x14ac:dyDescent="0.25">
      <c r="A31" t="s">
        <v>158</v>
      </c>
      <c r="B31">
        <v>10.059051762609386</v>
      </c>
      <c r="C31">
        <v>95.975378870725251</v>
      </c>
      <c r="D31">
        <v>0.34998968426356625</v>
      </c>
      <c r="E31">
        <v>5.9995126196444124</v>
      </c>
      <c r="F31">
        <v>0.28867513459481287</v>
      </c>
      <c r="G31">
        <v>0.79682521219579239</v>
      </c>
      <c r="H31">
        <v>5.613326543713053E-4</v>
      </c>
      <c r="I31">
        <v>7.7074560165405273E-3</v>
      </c>
      <c r="J31">
        <v>8.3853382482572414E-5</v>
      </c>
      <c r="L31">
        <v>0.01</v>
      </c>
      <c r="M31">
        <v>1.4999999999999999E-2</v>
      </c>
      <c r="N31">
        <v>18.142472122611156</v>
      </c>
      <c r="O31">
        <v>102.71894981929445</v>
      </c>
      <c r="P31">
        <v>2</v>
      </c>
      <c r="Q31" t="s">
        <v>39</v>
      </c>
      <c r="R31">
        <v>4475.1752218563233</v>
      </c>
      <c r="S31">
        <v>19776.986033036002</v>
      </c>
      <c r="T3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0.78914963833449325</v>
      </c>
      <c r="U31">
        <f>Tableau1[[#This Row],[S2]]/Tableau1[[#This Row],[S1]]*SQRT(Tableau1[[#This Row],[rho1]]/Tableau1[[#This Row],[rho2]])*Tableau1[[#This Row],[J]]^(1/2)*Tableau1[[#This Row],[d2]]/Tableau1[[#This Row],[d1]]</f>
        <v>23.442237161069105</v>
      </c>
      <c r="V31">
        <v>0.36975327722033108</v>
      </c>
      <c r="W31">
        <v>0.16316392535760654</v>
      </c>
      <c r="X31">
        <v>0.39394352019201917</v>
      </c>
      <c r="Y31">
        <v>1.1794664292299075</v>
      </c>
      <c r="Z31">
        <v>9.6326023706802992</v>
      </c>
      <c r="AA31">
        <v>28.840000000000003</v>
      </c>
      <c r="AB31">
        <f>Tableau1[[#This Row],[u2]]/Tableau1[[#This Row],[u1]]</f>
        <v>5.6617945517620347</v>
      </c>
      <c r="AC31">
        <f>ABS(Tableau1[[#This Row],[u2]]-Tableau1[[#This Row],[u1]])</f>
        <v>84.576477696683298</v>
      </c>
      <c r="AD31">
        <f>(Tableau1[[#This Row],[d1]]+0.002)/Tableau1[[#This Row],[d2]]</f>
        <v>0.8</v>
      </c>
      <c r="AE31">
        <f>Tableau1[[#This Row],[S2]]*Tableau1[[#This Row],[u2]]/(Tableau1[[#This Row],[S1]]*Tableau1[[#This Row],[u1]])*(1-Tableau1[[#This Row],[ALPHA]]^3)/(1-Tableau1[[#This Row],[ALPHA]]^4)</f>
        <v>12.91758325948704</v>
      </c>
      <c r="AF31" s="1">
        <v>0</v>
      </c>
      <c r="AG31" s="1" t="s">
        <v>53</v>
      </c>
      <c r="AH31" s="1" t="s">
        <v>54</v>
      </c>
      <c r="AI31" t="s">
        <v>42</v>
      </c>
      <c r="AJ31" t="s">
        <v>42</v>
      </c>
      <c r="AK31" t="s">
        <v>44</v>
      </c>
      <c r="AL31">
        <v>3.7</v>
      </c>
      <c r="AM31">
        <v>0.53371174986293846</v>
      </c>
    </row>
    <row r="32" spans="1:39" x14ac:dyDescent="0.25">
      <c r="A32" t="s">
        <v>117</v>
      </c>
      <c r="B32">
        <v>10.021793116197205</v>
      </c>
      <c r="C32">
        <v>95.31830260737641</v>
      </c>
      <c r="D32">
        <v>0.35036597378838152</v>
      </c>
      <c r="E32">
        <v>5.9777021413842464</v>
      </c>
      <c r="F32">
        <v>0.28867513459481287</v>
      </c>
      <c r="G32">
        <v>0.84502907502166547</v>
      </c>
      <c r="H32">
        <v>5.6098917943002381E-4</v>
      </c>
      <c r="I32">
        <v>7.6684139871597279E-3</v>
      </c>
      <c r="J32">
        <v>8.3542790231720616E-5</v>
      </c>
      <c r="K32">
        <v>7.2588970708847038E-3</v>
      </c>
      <c r="L32">
        <v>0.01</v>
      </c>
      <c r="M32">
        <v>1.4999999999999999E-2</v>
      </c>
      <c r="N32">
        <v>18.094009479557155</v>
      </c>
      <c r="O32">
        <v>102.19862816605334</v>
      </c>
      <c r="P32">
        <v>2</v>
      </c>
      <c r="Q32" t="s">
        <v>39</v>
      </c>
      <c r="R32">
        <v>4470.1389423078226</v>
      </c>
      <c r="S32">
        <v>19676.80593883781</v>
      </c>
      <c r="T3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0.83668491017169744</v>
      </c>
      <c r="U32">
        <f>Tableau1[[#This Row],[S2]]/Tableau1[[#This Row],[S1]]*SQRT(Tableau1[[#This Row],[rho1]]/Tableau1[[#This Row],[rho2]])*Tableau1[[#This Row],[J]]^(1/2)*Tableau1[[#This Row],[d2]]/Tableau1[[#This Row],[d1]]</f>
        <v>24.800691311153415</v>
      </c>
      <c r="V32">
        <v>0.36999475085026112</v>
      </c>
      <c r="W32">
        <v>0.16358748034830214</v>
      </c>
      <c r="X32">
        <v>0.39475695435322489</v>
      </c>
      <c r="Y32">
        <v>1.1794664292299073</v>
      </c>
      <c r="Z32">
        <v>9.6524922468376815</v>
      </c>
      <c r="AA32">
        <v>28.84</v>
      </c>
      <c r="AB32">
        <f>Tableau1[[#This Row],[u2]]/Tableau1[[#This Row],[u1]]</f>
        <v>5.6482024219960021</v>
      </c>
      <c r="AC32">
        <f>ABS(Tableau1[[#This Row],[u2]]-Tableau1[[#This Row],[u1]])</f>
        <v>84.104618686496181</v>
      </c>
      <c r="AD32">
        <f>(Tableau1[[#This Row],[d1]]+0.002)/Tableau1[[#This Row],[d2]]</f>
        <v>0.8</v>
      </c>
      <c r="AE32">
        <f>Tableau1[[#This Row],[S2]]*Tableau1[[#This Row],[u2]]/(Tableau1[[#This Row],[S1]]*Tableau1[[#This Row],[u1]])*(1-Tableau1[[#This Row],[ALPHA]]^3)/(1-Tableau1[[#This Row],[ALPHA]]^4)</f>
        <v>13.66614426359854</v>
      </c>
      <c r="AF32">
        <v>0</v>
      </c>
      <c r="AG32" t="s">
        <v>53</v>
      </c>
      <c r="AH32" t="s">
        <v>54</v>
      </c>
      <c r="AI32" t="s">
        <v>42</v>
      </c>
      <c r="AJ32" t="s">
        <v>43</v>
      </c>
      <c r="AK32" t="s">
        <v>44</v>
      </c>
      <c r="AL32" t="s">
        <v>44</v>
      </c>
      <c r="AM32" t="s">
        <v>44</v>
      </c>
    </row>
    <row r="33" spans="1:39" x14ac:dyDescent="0.25">
      <c r="A33" t="s">
        <v>60</v>
      </c>
      <c r="B33">
        <v>10.103069645136516</v>
      </c>
      <c r="C33">
        <v>95.920012388732175</v>
      </c>
      <c r="D33">
        <v>0.3511361940040863</v>
      </c>
      <c r="E33">
        <v>6.0299707562078639</v>
      </c>
      <c r="F33">
        <v>0.59587679629710499</v>
      </c>
      <c r="G33">
        <v>0</v>
      </c>
      <c r="H33">
        <v>5.6136665513109769E-4</v>
      </c>
      <c r="I33">
        <v>7.7167638731002802E-3</v>
      </c>
      <c r="J33">
        <v>8.4220320482965297E-5</v>
      </c>
      <c r="K33">
        <v>0</v>
      </c>
      <c r="L33">
        <v>0.01</v>
      </c>
      <c r="M33">
        <v>1.4999999999999999E-2</v>
      </c>
      <c r="N33">
        <v>18.19571312259017</v>
      </c>
      <c r="O33">
        <v>102.8429976567177</v>
      </c>
      <c r="P33">
        <v>2</v>
      </c>
      <c r="Q33" t="s">
        <v>39</v>
      </c>
      <c r="R33">
        <v>4478.6544982886717</v>
      </c>
      <c r="S33">
        <v>19800.869574996497</v>
      </c>
      <c r="T3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5.0479717552741159E-3</v>
      </c>
      <c r="U33">
        <f>Tableau1[[#This Row],[S2]]/Tableau1[[#This Row],[S1]]*SQRT(Tableau1[[#This Row],[rho1]]/Tableau1[[#This Row],[rho2]])*Tableau1[[#This Row],[J]]^(1/2)*Tableau1[[#This Row],[d2]]/Tableau1[[#This Row],[d1]]</f>
        <v>0</v>
      </c>
      <c r="V33">
        <v>0.36941867882747792</v>
      </c>
      <c r="W33">
        <v>0.16257685325260982</v>
      </c>
      <c r="X33">
        <v>0.3928146259468363</v>
      </c>
      <c r="Y33">
        <v>1.1794664292299073</v>
      </c>
      <c r="Z33">
        <v>9.6049989482985954</v>
      </c>
      <c r="AA33">
        <v>28.84</v>
      </c>
      <c r="AB33">
        <f>Tableau1[[#This Row],[u2]]/Tableau1[[#This Row],[u1]]</f>
        <v>5.6520454550933223</v>
      </c>
      <c r="AC33">
        <f>ABS(Tableau1[[#This Row],[u2]]-Tableau1[[#This Row],[u1]])</f>
        <v>84.647284534127522</v>
      </c>
      <c r="AD33">
        <f>(Tableau1[[#This Row],[d1]]+0.002)/Tableau1[[#This Row],[d2]]</f>
        <v>0.8</v>
      </c>
      <c r="AE33">
        <f>Tableau1[[#This Row],[S2]]*Tableau1[[#This Row],[u2]]/(Tableau1[[#This Row],[S1]]*Tableau1[[#This Row],[u1]])*(1-Tableau1[[#This Row],[ALPHA]]^3)/(1-Tableau1[[#This Row],[ALPHA]]^4)</f>
        <v>0</v>
      </c>
      <c r="AF33">
        <v>0</v>
      </c>
      <c r="AG33" t="s">
        <v>53</v>
      </c>
      <c r="AH33" t="s">
        <v>61</v>
      </c>
      <c r="AI33" t="s">
        <v>42</v>
      </c>
      <c r="AJ33" t="s">
        <v>43</v>
      </c>
      <c r="AK33" t="s">
        <v>44</v>
      </c>
      <c r="AL33" t="s">
        <v>44</v>
      </c>
      <c r="AM33" t="s">
        <v>44</v>
      </c>
    </row>
    <row r="34" spans="1:39" x14ac:dyDescent="0.25">
      <c r="A34" t="s">
        <v>62</v>
      </c>
      <c r="B34">
        <v>10.086357248148998</v>
      </c>
      <c r="C34">
        <v>98.428492970079716</v>
      </c>
      <c r="D34">
        <v>0.34658197713164085</v>
      </c>
      <c r="E34">
        <v>6.0208647980256211</v>
      </c>
      <c r="F34">
        <v>0.59587679629710499</v>
      </c>
      <c r="G34">
        <v>0.81920345292166974</v>
      </c>
      <c r="H34">
        <v>5.6115849058430991E-4</v>
      </c>
      <c r="I34">
        <v>7.8107713747024542E-3</v>
      </c>
      <c r="J34">
        <v>8.4081004069264738E-5</v>
      </c>
      <c r="K34">
        <v>7.167688708305359E-3</v>
      </c>
      <c r="L34">
        <v>0.01</v>
      </c>
      <c r="M34">
        <v>1.4999999999999999E-2</v>
      </c>
      <c r="N34">
        <v>18.173391166891538</v>
      </c>
      <c r="O34">
        <v>104.09585616398493</v>
      </c>
      <c r="P34">
        <v>2</v>
      </c>
      <c r="Q34" t="s">
        <v>39</v>
      </c>
      <c r="R34">
        <v>4476.0353147031801</v>
      </c>
      <c r="S34">
        <v>20042.088602675256</v>
      </c>
      <c r="T3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0.81397655435158689</v>
      </c>
      <c r="U34">
        <f>Tableau1[[#This Row],[S2]]/Tableau1[[#This Row],[S1]]*SQRT(Tableau1[[#This Row],[rho1]]/Tableau1[[#This Row],[rho2]])*Tableau1[[#This Row],[J]]^(1/2)*Tableau1[[#This Row],[d2]]/Tableau1[[#This Row],[d1]]</f>
        <v>11.812015987104163</v>
      </c>
      <c r="V34">
        <v>0.36951839488349231</v>
      </c>
      <c r="W34">
        <v>0.16275183174717556</v>
      </c>
      <c r="X34">
        <v>0.39315126963067915</v>
      </c>
      <c r="Y34">
        <v>1.1794664292299071</v>
      </c>
      <c r="Z34">
        <v>9.6132304702829607</v>
      </c>
      <c r="AA34">
        <v>28.839999999999996</v>
      </c>
      <c r="AB34">
        <f>Tableau1[[#This Row],[u2]]/Tableau1[[#This Row],[u1]]</f>
        <v>5.7279269019217383</v>
      </c>
      <c r="AC34">
        <f>ABS(Tableau1[[#This Row],[u2]]-Tableau1[[#This Row],[u1]])</f>
        <v>85.9224649970934</v>
      </c>
      <c r="AD34">
        <f>(Tableau1[[#This Row],[d1]]+0.002)/Tableau1[[#This Row],[d2]]</f>
        <v>0.8</v>
      </c>
      <c r="AE34">
        <f>Tableau1[[#This Row],[S2]]*Tableau1[[#This Row],[u2]]/(Tableau1[[#This Row],[S1]]*Tableau1[[#This Row],[u1]])*(1-Tableau1[[#This Row],[ALPHA]]^3)/(1-Tableau1[[#This Row],[ALPHA]]^4)</f>
        <v>6.5088796315569475</v>
      </c>
      <c r="AF34">
        <v>0</v>
      </c>
      <c r="AG34" t="s">
        <v>53</v>
      </c>
      <c r="AH34" t="s">
        <v>54</v>
      </c>
      <c r="AI34" t="s">
        <v>42</v>
      </c>
      <c r="AJ34" t="s">
        <v>43</v>
      </c>
      <c r="AK34" t="s">
        <v>44</v>
      </c>
      <c r="AL34" t="s">
        <v>44</v>
      </c>
      <c r="AM34" t="s">
        <v>44</v>
      </c>
    </row>
    <row r="35" spans="1:39" x14ac:dyDescent="0.25">
      <c r="A35" t="s">
        <v>63</v>
      </c>
      <c r="B35">
        <v>10.090831028265658</v>
      </c>
      <c r="C35">
        <v>95.669940332814051</v>
      </c>
      <c r="D35">
        <v>0.35146874150654422</v>
      </c>
      <c r="E35">
        <v>6.0270923629643143</v>
      </c>
      <c r="F35">
        <v>0.59587679629710499</v>
      </c>
      <c r="G35">
        <v>0.8927021164749771</v>
      </c>
      <c r="H35">
        <v>5.6091422647978851E-4</v>
      </c>
      <c r="I35">
        <v>7.6994449710845944E-3</v>
      </c>
      <c r="J35">
        <v>8.411829800154767E-5</v>
      </c>
      <c r="K35">
        <v>7.6994449710845944E-3</v>
      </c>
      <c r="L35">
        <v>0.01</v>
      </c>
      <c r="M35">
        <v>1.4999999999999999E-2</v>
      </c>
      <c r="N35">
        <v>18.176128196542951</v>
      </c>
      <c r="O35">
        <v>102.61218486670543</v>
      </c>
      <c r="P35">
        <v>2</v>
      </c>
      <c r="Q35" t="s">
        <v>39</v>
      </c>
      <c r="R35">
        <v>4474.7421744117582</v>
      </c>
      <c r="S35">
        <v>19756.430050134248</v>
      </c>
      <c r="T3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0.88639004893228268</v>
      </c>
      <c r="U35">
        <f>Tableau1[[#This Row],[S2]]/Tableau1[[#This Row],[S1]]*SQRT(Tableau1[[#This Row],[rho1]]/Tableau1[[#This Row],[rho2]])*Tableau1[[#This Row],[J]]^(1/2)*Tableau1[[#This Row],[d2]]/Tableau1[[#This Row],[d1]]</f>
        <v>12.686414799181653</v>
      </c>
      <c r="V35">
        <v>0.36945016990991653</v>
      </c>
      <c r="W35">
        <v>0.16263211470228858</v>
      </c>
      <c r="X35">
        <v>0.39292096019351175</v>
      </c>
      <c r="Y35">
        <v>1.1794664292299073</v>
      </c>
      <c r="Z35">
        <v>9.6075990050684368</v>
      </c>
      <c r="AA35">
        <v>28.84</v>
      </c>
      <c r="AB35">
        <f>Tableau1[[#This Row],[u2]]/Tableau1[[#This Row],[u1]]</f>
        <v>5.6454369025754332</v>
      </c>
      <c r="AC35">
        <f>ABS(Tableau1[[#This Row],[u2]]-Tableau1[[#This Row],[u1]])</f>
        <v>84.436056670162486</v>
      </c>
      <c r="AD35">
        <f>(Tableau1[[#This Row],[d1]]+0.002)/Tableau1[[#This Row],[d2]]</f>
        <v>0.8</v>
      </c>
      <c r="AE35">
        <f>Tableau1[[#This Row],[S2]]*Tableau1[[#This Row],[u2]]/(Tableau1[[#This Row],[S1]]*Tableau1[[#This Row],[u1]])*(1-Tableau1[[#This Row],[ALPHA]]^3)/(1-Tableau1[[#This Row],[ALPHA]]^4)</f>
        <v>6.9907073419158152</v>
      </c>
      <c r="AF35">
        <v>0</v>
      </c>
      <c r="AG35" t="s">
        <v>58</v>
      </c>
      <c r="AH35" t="s">
        <v>59</v>
      </c>
      <c r="AI35" t="s">
        <v>42</v>
      </c>
      <c r="AJ35" t="s">
        <v>43</v>
      </c>
      <c r="AK35" t="s">
        <v>44</v>
      </c>
      <c r="AL35" t="s">
        <v>44</v>
      </c>
      <c r="AM35" t="s">
        <v>44</v>
      </c>
    </row>
    <row r="36" spans="1:39" x14ac:dyDescent="0.25">
      <c r="A36" t="s">
        <v>64</v>
      </c>
      <c r="B36">
        <v>10.015256712042088</v>
      </c>
      <c r="C36">
        <v>95.451536519536944</v>
      </c>
      <c r="D36">
        <v>0.35083645856285234</v>
      </c>
      <c r="E36">
        <v>5.9978914953346996</v>
      </c>
      <c r="F36">
        <v>0.86602540378443837</v>
      </c>
      <c r="G36">
        <v>0</v>
      </c>
      <c r="H36">
        <v>5.5901721934698424E-4</v>
      </c>
      <c r="I36">
        <v>7.6541017961502065E-3</v>
      </c>
      <c r="J36">
        <v>8.3488302034362186E-5</v>
      </c>
      <c r="K36">
        <v>0</v>
      </c>
      <c r="L36">
        <v>0.01</v>
      </c>
      <c r="M36">
        <v>1.4999999999999999E-2</v>
      </c>
      <c r="N36">
        <v>18.064870596824015</v>
      </c>
      <c r="O36">
        <v>102.00788647035553</v>
      </c>
      <c r="P36">
        <v>2</v>
      </c>
      <c r="Q36" t="s">
        <v>39</v>
      </c>
      <c r="R36">
        <v>4456.5454800261696</v>
      </c>
      <c r="S36">
        <v>19640.081499400203</v>
      </c>
      <c r="T3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7.3720842760267389E-3</v>
      </c>
      <c r="U36">
        <f>Tableau1[[#This Row],[S2]]/Tableau1[[#This Row],[S1]]*SQRT(Tableau1[[#This Row],[rho1]]/Tableau1[[#This Row],[rho2]])*Tableau1[[#This Row],[J]]^(1/2)*Tableau1[[#This Row],[d2]]/Tableau1[[#This Row],[d1]]</f>
        <v>0</v>
      </c>
      <c r="V36">
        <v>0.36977117135096782</v>
      </c>
      <c r="W36">
        <v>0.16319531599806489</v>
      </c>
      <c r="X36">
        <v>0.39400383525891736</v>
      </c>
      <c r="Y36">
        <v>1.1794664292299073</v>
      </c>
      <c r="Z36">
        <v>9.6340771786835084</v>
      </c>
      <c r="AA36">
        <v>28.84</v>
      </c>
      <c r="AB36">
        <f>Tableau1[[#This Row],[u2]]/Tableau1[[#This Row],[u1]]</f>
        <v>5.6467543414503911</v>
      </c>
      <c r="AC36">
        <f>ABS(Tableau1[[#This Row],[u2]]-Tableau1[[#This Row],[u1]])</f>
        <v>83.943015873531522</v>
      </c>
      <c r="AD36">
        <f>(Tableau1[[#This Row],[d1]]+0.002)/Tableau1[[#This Row],[d2]]</f>
        <v>0.8</v>
      </c>
      <c r="AE36">
        <f>Tableau1[[#This Row],[S2]]*Tableau1[[#This Row],[u2]]/(Tableau1[[#This Row],[S1]]*Tableau1[[#This Row],[u1]])*(1-Tableau1[[#This Row],[ALPHA]]^3)/(1-Tableau1[[#This Row],[ALPHA]]^4)</f>
        <v>0</v>
      </c>
      <c r="AF36">
        <v>0</v>
      </c>
      <c r="AG36" t="s">
        <v>53</v>
      </c>
      <c r="AH36" t="s">
        <v>61</v>
      </c>
      <c r="AI36" t="s">
        <v>42</v>
      </c>
      <c r="AJ36" t="s">
        <v>43</v>
      </c>
      <c r="AK36" t="s">
        <v>44</v>
      </c>
      <c r="AL36" t="s">
        <v>44</v>
      </c>
      <c r="AM36" t="s">
        <v>44</v>
      </c>
    </row>
    <row r="37" spans="1:39" x14ac:dyDescent="0.25">
      <c r="A37" t="s">
        <v>65</v>
      </c>
      <c r="B37">
        <v>10.017467890720434</v>
      </c>
      <c r="C37">
        <v>92.067283784528925</v>
      </c>
      <c r="D37">
        <v>0.35703845543182844</v>
      </c>
      <c r="E37">
        <v>6.0033410638077198</v>
      </c>
      <c r="F37">
        <v>0.86602540378443837</v>
      </c>
      <c r="G37">
        <v>0.86170187186345737</v>
      </c>
      <c r="H37">
        <v>5.5870888024403651E-4</v>
      </c>
      <c r="I37">
        <v>7.514975132942199E-3</v>
      </c>
      <c r="J37">
        <v>8.3506734667559477E-5</v>
      </c>
      <c r="K37">
        <v>7.25400782585144E-3</v>
      </c>
      <c r="L37">
        <v>0.01</v>
      </c>
      <c r="M37">
        <v>1.4999999999999999E-2</v>
      </c>
      <c r="N37">
        <v>18.064198113477669</v>
      </c>
      <c r="O37">
        <v>100.15371504129772</v>
      </c>
      <c r="P37">
        <v>2</v>
      </c>
      <c r="Q37" t="s">
        <v>39</v>
      </c>
      <c r="R37">
        <v>4454.6589539559918</v>
      </c>
      <c r="S37">
        <v>19283.088729129075</v>
      </c>
      <c r="T3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0.85793933816253953</v>
      </c>
      <c r="U37">
        <f>Tableau1[[#This Row],[S2]]/Tableau1[[#This Row],[S1]]*SQRT(Tableau1[[#This Row],[rho1]]/Tableau1[[#This Row],[rho2]])*Tableau1[[#This Row],[J]]^(1/2)*Tableau1[[#This Row],[d2]]/Tableau1[[#This Row],[d1]]</f>
        <v>8.2749625984213981</v>
      </c>
      <c r="V37">
        <v>0.36971105280776212</v>
      </c>
      <c r="W37">
        <v>0.16308985123856526</v>
      </c>
      <c r="X37">
        <v>0.39380117282408311</v>
      </c>
      <c r="Y37">
        <v>1.1794664292299073</v>
      </c>
      <c r="Z37">
        <v>9.6291217306302421</v>
      </c>
      <c r="AA37">
        <v>28.84</v>
      </c>
      <c r="AB37">
        <f>Tableau1[[#This Row],[u2]]/Tableau1[[#This Row],[u1]]</f>
        <v>5.54432111584146</v>
      </c>
      <c r="AC37">
        <f>ABS(Tableau1[[#This Row],[u2]]-Tableau1[[#This Row],[u1]])</f>
        <v>82.089516927820043</v>
      </c>
      <c r="AD37">
        <f>(Tableau1[[#This Row],[d1]]+0.002)/Tableau1[[#This Row],[d2]]</f>
        <v>0.8</v>
      </c>
      <c r="AE37">
        <f>Tableau1[[#This Row],[S2]]*Tableau1[[#This Row],[u2]]/(Tableau1[[#This Row],[S1]]*Tableau1[[#This Row],[u1]])*(1-Tableau1[[#This Row],[ALPHA]]^3)/(1-Tableau1[[#This Row],[ALPHA]]^4)</f>
        <v>4.5598258220750267</v>
      </c>
      <c r="AF37">
        <v>0</v>
      </c>
      <c r="AG37" t="s">
        <v>53</v>
      </c>
      <c r="AH37" t="s">
        <v>54</v>
      </c>
      <c r="AI37" t="s">
        <v>42</v>
      </c>
      <c r="AJ37" t="s">
        <v>43</v>
      </c>
      <c r="AK37" t="s">
        <v>44</v>
      </c>
      <c r="AL37" t="s">
        <v>44</v>
      </c>
      <c r="AM37" t="s">
        <v>44</v>
      </c>
    </row>
    <row r="38" spans="1:39" x14ac:dyDescent="0.25">
      <c r="A38" t="s">
        <v>66</v>
      </c>
      <c r="B38">
        <v>10.021513147837414</v>
      </c>
      <c r="C38">
        <v>94.147309966918897</v>
      </c>
      <c r="D38">
        <v>0.35284414976926315</v>
      </c>
      <c r="E38">
        <v>5.9901179674472811</v>
      </c>
      <c r="F38">
        <v>0.86602540378443837</v>
      </c>
      <c r="G38">
        <v>0.8927021164749771</v>
      </c>
      <c r="H38">
        <v>5.5998392352430413E-4</v>
      </c>
      <c r="I38">
        <v>7.6119790697097775E-3</v>
      </c>
      <c r="J38">
        <v>8.3540456384106481E-5</v>
      </c>
      <c r="K38">
        <v>7.6119790697097775E-3</v>
      </c>
      <c r="L38">
        <v>0.01</v>
      </c>
      <c r="M38">
        <v>1.4999999999999999E-2</v>
      </c>
      <c r="N38">
        <v>18.082821398929031</v>
      </c>
      <c r="O38">
        <v>101.44650769450514</v>
      </c>
      <c r="P38">
        <v>2</v>
      </c>
      <c r="Q38" t="s">
        <v>39</v>
      </c>
      <c r="R38">
        <v>4463.4347558922545</v>
      </c>
      <c r="S38">
        <v>19531.996474886542</v>
      </c>
      <c r="T3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0.88862038442109914</v>
      </c>
      <c r="U38">
        <f>Tableau1[[#This Row],[S2]]/Tableau1[[#This Row],[S1]]*SQRT(Tableau1[[#This Row],[rho1]]/Tableau1[[#This Row],[rho2]])*Tableau1[[#This Row],[J]]^(1/2)*Tableau1[[#This Row],[d2]]/Tableau1[[#This Row],[d1]]</f>
        <v>8.674373138753829</v>
      </c>
      <c r="V38">
        <v>0.36985709673770978</v>
      </c>
      <c r="W38">
        <v>0.16334604196942429</v>
      </c>
      <c r="X38">
        <v>0.39429337940003256</v>
      </c>
      <c r="Y38">
        <v>1.1794664292299073</v>
      </c>
      <c r="Z38">
        <v>9.6411570351531957</v>
      </c>
      <c r="AA38">
        <v>28.84</v>
      </c>
      <c r="AB38">
        <f>Tableau1[[#This Row],[u2]]/Tableau1[[#This Row],[u1]]</f>
        <v>5.610103946528687</v>
      </c>
      <c r="AC38">
        <f>ABS(Tableau1[[#This Row],[u2]]-Tableau1[[#This Row],[u1]])</f>
        <v>83.363686295576116</v>
      </c>
      <c r="AD38">
        <f>(Tableau1[[#This Row],[d1]]+0.002)/Tableau1[[#This Row],[d2]]</f>
        <v>0.8</v>
      </c>
      <c r="AE38">
        <f>Tableau1[[#This Row],[S2]]*Tableau1[[#This Row],[u2]]/(Tableau1[[#This Row],[S1]]*Tableau1[[#This Row],[u1]])*(1-Tableau1[[#This Row],[ALPHA]]^3)/(1-Tableau1[[#This Row],[ALPHA]]^4)</f>
        <v>4.7799165443900957</v>
      </c>
      <c r="AF38">
        <v>0</v>
      </c>
      <c r="AG38" t="s">
        <v>58</v>
      </c>
      <c r="AH38" t="s">
        <v>59</v>
      </c>
      <c r="AI38" t="s">
        <v>42</v>
      </c>
      <c r="AJ38" t="s">
        <v>43</v>
      </c>
      <c r="AK38" t="s">
        <v>44</v>
      </c>
      <c r="AL38" t="s">
        <v>44</v>
      </c>
      <c r="AM38" t="s">
        <v>44</v>
      </c>
    </row>
    <row r="39" spans="1:39" x14ac:dyDescent="0.25">
      <c r="A39" t="s">
        <v>163</v>
      </c>
      <c r="B39">
        <v>12.501170055945973</v>
      </c>
      <c r="C39">
        <v>17.481885379992882</v>
      </c>
      <c r="D39">
        <v>0.34973170861976682</v>
      </c>
      <c r="E39">
        <v>2.0034866494860504</v>
      </c>
      <c r="F39">
        <v>0</v>
      </c>
      <c r="G39">
        <v>0.79940244241552538</v>
      </c>
      <c r="H39">
        <v>1.881171193323072E-3</v>
      </c>
      <c r="I39">
        <v>8.4026022577285767E-3</v>
      </c>
      <c r="J39">
        <v>1.0421115418427788E-4</v>
      </c>
      <c r="L39">
        <v>0.01</v>
      </c>
      <c r="M39">
        <v>1.4999999999999999E-2</v>
      </c>
      <c r="N39">
        <v>35.323645804171832</v>
      </c>
      <c r="O39">
        <v>111.98331561164267</v>
      </c>
      <c r="P39">
        <v>2</v>
      </c>
      <c r="Q39" t="s">
        <v>39</v>
      </c>
      <c r="R39">
        <v>13545.038285430825</v>
      </c>
      <c r="S39">
        <v>21560.700072193664</v>
      </c>
      <c r="T3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0.74667254852240206</v>
      </c>
      <c r="U39" t="e">
        <f>Tableau1[[#This Row],[S2]]/Tableau1[[#This Row],[S1]]*SQRT(Tableau1[[#This Row],[rho1]]/Tableau1[[#This Row],[rho2]])*Tableau1[[#This Row],[J]]^(1/2)*Tableau1[[#This Row],[d2]]/Tableau1[[#This Row],[d1]]</f>
        <v>#DIV/0!</v>
      </c>
      <c r="V39">
        <v>0.47893051759038191</v>
      </c>
      <c r="W39">
        <v>0.3445944396034249</v>
      </c>
      <c r="X39">
        <v>0.67806748120905813</v>
      </c>
      <c r="Y39">
        <v>1.1794664292299075</v>
      </c>
      <c r="Z39">
        <v>16.579926035569589</v>
      </c>
      <c r="AA39">
        <v>28.840000000000003</v>
      </c>
      <c r="AB39">
        <f>Tableau1[[#This Row],[u2]]/Tableau1[[#This Row],[u1]]</f>
        <v>3.170208314069809</v>
      </c>
      <c r="AC39">
        <f>ABS(Tableau1[[#This Row],[u2]]-Tableau1[[#This Row],[u1]])</f>
        <v>76.659669807470834</v>
      </c>
      <c r="AD39">
        <f>(Tableau1[[#This Row],[d1]]+0.002)/Tableau1[[#This Row],[d2]]</f>
        <v>0.8</v>
      </c>
      <c r="AE39" t="e">
        <f>Tableau1[[#This Row],[S2]]*Tableau1[[#This Row],[u2]]/(Tableau1[[#This Row],[S1]]*Tableau1[[#This Row],[u1]])*(1-Tableau1[[#This Row],[ALPHA]]^3)/(1-Tableau1[[#This Row],[ALPHA]]^4)</f>
        <v>#DIV/0!</v>
      </c>
      <c r="AF39" s="1">
        <v>1</v>
      </c>
      <c r="AG39" s="1" t="s">
        <v>40</v>
      </c>
      <c r="AH39" s="1" t="s">
        <v>47</v>
      </c>
      <c r="AI39" t="s">
        <v>42</v>
      </c>
      <c r="AJ39" t="s">
        <v>42</v>
      </c>
      <c r="AK39" t="s">
        <v>44</v>
      </c>
      <c r="AL39">
        <v>5.2</v>
      </c>
      <c r="AM39">
        <v>0.75067855218556401</v>
      </c>
    </row>
    <row r="40" spans="1:39" x14ac:dyDescent="0.25">
      <c r="A40" t="s">
        <v>159</v>
      </c>
      <c r="B40">
        <v>12.53678317403938</v>
      </c>
      <c r="C40">
        <v>17.767201324479206</v>
      </c>
      <c r="D40">
        <v>0.35227272880932564</v>
      </c>
      <c r="E40">
        <v>2.0392499892728946</v>
      </c>
      <c r="F40">
        <v>0.28867513459481287</v>
      </c>
      <c r="G40">
        <v>0.79619008321021212</v>
      </c>
      <c r="H40">
        <v>1.8552780329223275E-3</v>
      </c>
      <c r="I40">
        <v>8.3841550683975211E-3</v>
      </c>
      <c r="J40">
        <v>1.0450802912670373E-4</v>
      </c>
      <c r="L40">
        <v>0.01</v>
      </c>
      <c r="M40">
        <v>1.4999999999999999E-2</v>
      </c>
      <c r="N40">
        <v>35.086906140971131</v>
      </c>
      <c r="O40">
        <v>111.73746589013443</v>
      </c>
      <c r="P40">
        <v>2</v>
      </c>
      <c r="Q40" t="s">
        <v>39</v>
      </c>
      <c r="R40">
        <v>13370.699179121437</v>
      </c>
      <c r="S40">
        <v>21513.365412746229</v>
      </c>
      <c r="T4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0.75696436649990961</v>
      </c>
      <c r="U40">
        <f>Tableau1[[#This Row],[S2]]/Tableau1[[#This Row],[S1]]*SQRT(Tableau1[[#This Row],[rho1]]/Tableau1[[#This Row],[rho2]])*Tableau1[[#This Row],[J]]^(1/2)*Tableau1[[#This Row],[d2]]/Tableau1[[#This Row],[d1]]</f>
        <v>13.175053538321713</v>
      </c>
      <c r="V40">
        <v>0.47654293804726222</v>
      </c>
      <c r="W40">
        <v>0.34083154875734972</v>
      </c>
      <c r="X40">
        <v>0.67324640950226322</v>
      </c>
      <c r="Y40">
        <v>1.1794664292299073</v>
      </c>
      <c r="Z40">
        <v>16.462042470104528</v>
      </c>
      <c r="AA40">
        <v>28.84</v>
      </c>
      <c r="AB40">
        <f>Tableau1[[#This Row],[u2]]/Tableau1[[#This Row],[u1]]</f>
        <v>3.1845915807224197</v>
      </c>
      <c r="AC40">
        <f>ABS(Tableau1[[#This Row],[u2]]-Tableau1[[#This Row],[u1]])</f>
        <v>76.650559749163307</v>
      </c>
      <c r="AD40">
        <f>(Tableau1[[#This Row],[d1]]+0.002)/Tableau1[[#This Row],[d2]]</f>
        <v>0.8</v>
      </c>
      <c r="AE40">
        <f>Tableau1[[#This Row],[S2]]*Tableau1[[#This Row],[u2]]/(Tableau1[[#This Row],[S1]]*Tableau1[[#This Row],[u1]])*(1-Tableau1[[#This Row],[ALPHA]]^3)/(1-Tableau1[[#This Row],[ALPHA]]^4)</f>
        <v>7.2599662677292205</v>
      </c>
      <c r="AF40" s="1">
        <v>1</v>
      </c>
      <c r="AG40" s="1" t="s">
        <v>40</v>
      </c>
      <c r="AH40" s="1" t="s">
        <v>47</v>
      </c>
      <c r="AI40" t="s">
        <v>42</v>
      </c>
      <c r="AJ40" t="s">
        <v>42</v>
      </c>
      <c r="AK40" t="s">
        <v>44</v>
      </c>
      <c r="AL40">
        <v>4.7</v>
      </c>
      <c r="AM40">
        <v>0.67321588993453485</v>
      </c>
    </row>
    <row r="41" spans="1:39" x14ac:dyDescent="0.25">
      <c r="A41" t="s">
        <v>160</v>
      </c>
      <c r="B41">
        <v>7.5104312197523182</v>
      </c>
      <c r="C41">
        <v>17.600562171836728</v>
      </c>
      <c r="D41">
        <v>0.34993699083137586</v>
      </c>
      <c r="E41">
        <v>2.0120971035394497</v>
      </c>
      <c r="F41">
        <v>0</v>
      </c>
      <c r="G41">
        <v>0.79993645508513245</v>
      </c>
      <c r="H41">
        <v>1.1255983089445353E-3</v>
      </c>
      <c r="I41">
        <v>5.0490816259384161E-3</v>
      </c>
      <c r="J41">
        <v>6.2607796096634868E-5</v>
      </c>
      <c r="L41">
        <v>0.01</v>
      </c>
      <c r="M41">
        <v>1.4999999999999999E-2</v>
      </c>
      <c r="N41">
        <v>21.172361890386114</v>
      </c>
      <c r="O41">
        <v>67.290213665219014</v>
      </c>
      <c r="P41">
        <v>2</v>
      </c>
      <c r="Q41" t="s">
        <v>39</v>
      </c>
      <c r="R41">
        <v>8106.4348794227644</v>
      </c>
      <c r="S41">
        <v>12955.716721775423</v>
      </c>
      <c r="T4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0.74750380043161269</v>
      </c>
      <c r="U41" t="e">
        <f>Tableau1[[#This Row],[S2]]/Tableau1[[#This Row],[S1]]*SQRT(Tableau1[[#This Row],[rho1]]/Tableau1[[#This Row],[rho2]])*Tableau1[[#This Row],[J]]^(1/2)*Tableau1[[#This Row],[d2]]/Tableau1[[#This Row],[d1]]</f>
        <v>#DIV/0!</v>
      </c>
      <c r="V41">
        <v>0.47834993291148747</v>
      </c>
      <c r="W41">
        <v>0.34368022065699805</v>
      </c>
      <c r="X41">
        <v>0.67689957589756333</v>
      </c>
      <c r="Y41">
        <v>1.1794664292299071</v>
      </c>
      <c r="Z41">
        <v>16.551368724951175</v>
      </c>
      <c r="AA41">
        <v>28.839999999999996</v>
      </c>
      <c r="AB41">
        <f>Tableau1[[#This Row],[u2]]/Tableau1[[#This Row],[u1]]</f>
        <v>3.1782100652537006</v>
      </c>
      <c r="AC41">
        <f>ABS(Tableau1[[#This Row],[u2]]-Tableau1[[#This Row],[u1]])</f>
        <v>46.1178517748329</v>
      </c>
      <c r="AD41">
        <f>(Tableau1[[#This Row],[d1]]+0.002)/Tableau1[[#This Row],[d2]]</f>
        <v>0.8</v>
      </c>
      <c r="AE41" t="e">
        <f>Tableau1[[#This Row],[S2]]*Tableau1[[#This Row],[u2]]/(Tableau1[[#This Row],[S1]]*Tableau1[[#This Row],[u1]])*(1-Tableau1[[#This Row],[ALPHA]]^3)/(1-Tableau1[[#This Row],[ALPHA]]^4)</f>
        <v>#DIV/0!</v>
      </c>
      <c r="AF41" s="1">
        <v>1</v>
      </c>
      <c r="AG41" s="1" t="s">
        <v>40</v>
      </c>
      <c r="AH41" s="1" t="s">
        <v>47</v>
      </c>
      <c r="AI41" t="s">
        <v>42</v>
      </c>
      <c r="AJ41" t="s">
        <v>42</v>
      </c>
      <c r="AK41" t="s">
        <v>44</v>
      </c>
      <c r="AL41">
        <v>7.4</v>
      </c>
      <c r="AM41">
        <v>1.0675969808417516</v>
      </c>
    </row>
    <row r="42" spans="1:39" x14ac:dyDescent="0.25">
      <c r="A42" t="s">
        <v>118</v>
      </c>
      <c r="B42">
        <v>10.021016061157786</v>
      </c>
      <c r="C42">
        <v>1.7561682870403954</v>
      </c>
      <c r="D42">
        <v>0.34873936225053498</v>
      </c>
      <c r="E42">
        <v>1.9998634651535467</v>
      </c>
      <c r="F42">
        <v>0</v>
      </c>
      <c r="G42">
        <v>0</v>
      </c>
      <c r="H42">
        <v>1.5105392361024696E-3</v>
      </c>
      <c r="I42">
        <v>6.7562173271179205E-3</v>
      </c>
      <c r="J42">
        <v>8.3536312613852835E-5</v>
      </c>
      <c r="K42">
        <v>0</v>
      </c>
      <c r="L42">
        <v>0.01</v>
      </c>
      <c r="M42">
        <v>0.02</v>
      </c>
      <c r="N42">
        <v>28.343513503982408</v>
      </c>
      <c r="O42">
        <v>28.489719947879333</v>
      </c>
      <c r="P42">
        <v>2</v>
      </c>
      <c r="Q42" t="s">
        <v>39</v>
      </c>
      <c r="R42">
        <v>10875.37310344387</v>
      </c>
      <c r="S42">
        <v>14627.376791670469</v>
      </c>
      <c r="T4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42" t="e">
        <f>Tableau1[[#This Row],[S2]]/Tableau1[[#This Row],[S1]]*SQRT(Tableau1[[#This Row],[rho1]]/Tableau1[[#This Row],[rho2]])*Tableau1[[#This Row],[J]]^(1/2)*Tableau1[[#This Row],[d2]]/Tableau1[[#This Row],[d1]]</f>
        <v>#DIV/0!</v>
      </c>
      <c r="V42">
        <v>0.47917592649606455</v>
      </c>
      <c r="W42">
        <v>0.34498071920435719</v>
      </c>
      <c r="X42">
        <v>0.67856029528924799</v>
      </c>
      <c r="Y42">
        <v>1.1794664292299073</v>
      </c>
      <c r="Z42">
        <v>16.591976194624948</v>
      </c>
      <c r="AA42">
        <v>28.84</v>
      </c>
      <c r="AB42">
        <f>Tableau1[[#This Row],[u2]]/Tableau1[[#This Row],[u1]]</f>
        <v>1.0051583740271433</v>
      </c>
      <c r="AC42">
        <f>ABS(Tableau1[[#This Row],[u2]]-Tableau1[[#This Row],[u1]])</f>
        <v>0.14620644389692572</v>
      </c>
      <c r="AD42">
        <f>(Tableau1[[#This Row],[d1]]+0.002)/Tableau1[[#This Row],[d2]]</f>
        <v>0.6</v>
      </c>
      <c r="AE42" t="e">
        <f>Tableau1[[#This Row],[S2]]*Tableau1[[#This Row],[u2]]/(Tableau1[[#This Row],[S1]]*Tableau1[[#This Row],[u1]])*(1-Tableau1[[#This Row],[ALPHA]]^3)/(1-Tableau1[[#This Row],[ALPHA]]^4)</f>
        <v>#DIV/0!</v>
      </c>
      <c r="AF42">
        <v>1</v>
      </c>
      <c r="AG42" t="s">
        <v>40</v>
      </c>
      <c r="AH42" t="s">
        <v>41</v>
      </c>
      <c r="AI42" t="s">
        <v>42</v>
      </c>
      <c r="AJ42" t="s">
        <v>43</v>
      </c>
      <c r="AK42" t="s">
        <v>44</v>
      </c>
      <c r="AL42" t="s">
        <v>44</v>
      </c>
      <c r="AM42" t="s">
        <v>44</v>
      </c>
    </row>
    <row r="43" spans="1:39" x14ac:dyDescent="0.25">
      <c r="A43" t="s">
        <v>119</v>
      </c>
      <c r="B43">
        <v>10.023832885675681</v>
      </c>
      <c r="C43">
        <v>1.7464004781546205</v>
      </c>
      <c r="D43">
        <v>0.34999250921214875</v>
      </c>
      <c r="E43">
        <v>2.0031244320443315</v>
      </c>
      <c r="F43">
        <v>0</v>
      </c>
      <c r="G43">
        <v>0.91621753454430643</v>
      </c>
      <c r="H43">
        <v>1.5086401076611796E-3</v>
      </c>
      <c r="I43">
        <v>6.7311319446563718E-3</v>
      </c>
      <c r="J43">
        <v>8.3559793978623561E-5</v>
      </c>
      <c r="K43">
        <v>3.5145430564880371E-3</v>
      </c>
      <c r="L43">
        <v>0.01</v>
      </c>
      <c r="M43">
        <v>0.02</v>
      </c>
      <c r="N43">
        <v>28.326395872459727</v>
      </c>
      <c r="O43">
        <v>28.383939525712272</v>
      </c>
      <c r="P43">
        <v>2</v>
      </c>
      <c r="Q43" t="s">
        <v>39</v>
      </c>
      <c r="R43">
        <v>10862.595080336421</v>
      </c>
      <c r="S43">
        <v>14573.066321260432</v>
      </c>
      <c r="T4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0.74874294049294132</v>
      </c>
      <c r="U43" t="e">
        <f>Tableau1[[#This Row],[S2]]/Tableau1[[#This Row],[S1]]*SQRT(Tableau1[[#This Row],[rho1]]/Tableau1[[#This Row],[rho2]])*Tableau1[[#This Row],[J]]^(1/2)*Tableau1[[#This Row],[d2]]/Tableau1[[#This Row],[d1]]</f>
        <v>#DIV/0!</v>
      </c>
      <c r="V43">
        <v>0.47895502208955953</v>
      </c>
      <c r="W43">
        <v>0.34463301439584332</v>
      </c>
      <c r="X43">
        <v>0.67811671223421655</v>
      </c>
      <c r="Y43">
        <v>1.1794664292299073</v>
      </c>
      <c r="Z43">
        <v>16.581129819526794</v>
      </c>
      <c r="AA43">
        <v>28.84</v>
      </c>
      <c r="AB43">
        <f>Tableau1[[#This Row],[u2]]/Tableau1[[#This Row],[u1]]</f>
        <v>1.0020314498714074</v>
      </c>
      <c r="AC43">
        <f>ABS(Tableau1[[#This Row],[u2]]-Tableau1[[#This Row],[u1]])</f>
        <v>5.7543653252544402E-2</v>
      </c>
      <c r="AD43">
        <f>(Tableau1[[#This Row],[d1]]+0.002)/Tableau1[[#This Row],[d2]]</f>
        <v>0.6</v>
      </c>
      <c r="AE43" t="e">
        <f>Tableau1[[#This Row],[S2]]*Tableau1[[#This Row],[u2]]/(Tableau1[[#This Row],[S1]]*Tableau1[[#This Row],[u1]])*(1-Tableau1[[#This Row],[ALPHA]]^3)/(1-Tableau1[[#This Row],[ALPHA]]^4)</f>
        <v>#DIV/0!</v>
      </c>
      <c r="AF43">
        <v>1</v>
      </c>
      <c r="AG43" t="s">
        <v>40</v>
      </c>
      <c r="AH43" t="s">
        <v>41</v>
      </c>
      <c r="AI43" t="s">
        <v>42</v>
      </c>
      <c r="AJ43" t="s">
        <v>43</v>
      </c>
      <c r="AK43" t="s">
        <v>44</v>
      </c>
      <c r="AL43" t="s">
        <v>44</v>
      </c>
      <c r="AM43" t="s">
        <v>44</v>
      </c>
    </row>
    <row r="44" spans="1:39" x14ac:dyDescent="0.25">
      <c r="A44" t="s">
        <v>120</v>
      </c>
      <c r="B44">
        <v>10.021004633877794</v>
      </c>
      <c r="C44">
        <v>1.8517893052375938</v>
      </c>
      <c r="D44">
        <v>0.3416316913239662</v>
      </c>
      <c r="E44">
        <v>2.0032814991097045</v>
      </c>
      <c r="F44">
        <v>0</v>
      </c>
      <c r="G44">
        <v>1.2097476531914024</v>
      </c>
      <c r="H44">
        <v>1.508102738999359E-3</v>
      </c>
      <c r="I44">
        <v>6.9288966655731195E-3</v>
      </c>
      <c r="J44">
        <v>8.3536217354766531E-5</v>
      </c>
      <c r="K44">
        <v>4.7768437767028802E-3</v>
      </c>
      <c r="L44">
        <v>0.01</v>
      </c>
      <c r="M44">
        <v>0.02</v>
      </c>
      <c r="N44">
        <v>28.317197677061593</v>
      </c>
      <c r="O44">
        <v>29.217876807728643</v>
      </c>
      <c r="P44">
        <v>2</v>
      </c>
      <c r="Q44" t="s">
        <v>39</v>
      </c>
      <c r="R44">
        <v>10858.768993148513</v>
      </c>
      <c r="S44">
        <v>15001.231809267731</v>
      </c>
      <c r="T4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0.99901153902902795</v>
      </c>
      <c r="U44" t="e">
        <f>Tableau1[[#This Row],[S2]]/Tableau1[[#This Row],[S1]]*SQRT(Tableau1[[#This Row],[rho1]]/Tableau1[[#This Row],[rho2]])*Tableau1[[#This Row],[J]]^(1/2)*Tableau1[[#This Row],[d2]]/Tableau1[[#This Row],[d1]]</f>
        <v>#DIV/0!</v>
      </c>
      <c r="V44">
        <v>0.47894439548531037</v>
      </c>
      <c r="W44">
        <v>0.34461628618998408</v>
      </c>
      <c r="X44">
        <v>0.67809536336035048</v>
      </c>
      <c r="Y44">
        <v>1.1794664292299073</v>
      </c>
      <c r="Z44">
        <v>16.580607802530771</v>
      </c>
      <c r="AA44">
        <v>28.84</v>
      </c>
      <c r="AB44">
        <f>Tableau1[[#This Row],[u2]]/Tableau1[[#This Row],[u1]]</f>
        <v>1.0318067889675626</v>
      </c>
      <c r="AC44">
        <f>ABS(Tableau1[[#This Row],[u2]]-Tableau1[[#This Row],[u1]])</f>
        <v>0.90067913066705074</v>
      </c>
      <c r="AD44">
        <f>(Tableau1[[#This Row],[d1]]+0.002)/Tableau1[[#This Row],[d2]]</f>
        <v>0.6</v>
      </c>
      <c r="AE44" t="e">
        <f>Tableau1[[#This Row],[S2]]*Tableau1[[#This Row],[u2]]/(Tableau1[[#This Row],[S1]]*Tableau1[[#This Row],[u1]])*(1-Tableau1[[#This Row],[ALPHA]]^3)/(1-Tableau1[[#This Row],[ALPHA]]^4)</f>
        <v>#DIV/0!</v>
      </c>
      <c r="AF44">
        <v>1</v>
      </c>
      <c r="AG44" t="s">
        <v>40</v>
      </c>
      <c r="AH44" t="s">
        <v>41</v>
      </c>
      <c r="AI44" t="s">
        <v>42</v>
      </c>
      <c r="AJ44" t="s">
        <v>43</v>
      </c>
      <c r="AK44" t="s">
        <v>44</v>
      </c>
      <c r="AL44" t="s">
        <v>44</v>
      </c>
      <c r="AM44" t="s">
        <v>44</v>
      </c>
    </row>
    <row r="45" spans="1:39" x14ac:dyDescent="0.25">
      <c r="A45" t="s">
        <v>121</v>
      </c>
      <c r="B45">
        <v>10.009177399086626</v>
      </c>
      <c r="C45">
        <v>1.7638693852797875</v>
      </c>
      <c r="D45">
        <v>0.34957438727152779</v>
      </c>
      <c r="E45">
        <v>2.0105425579864216</v>
      </c>
      <c r="F45">
        <v>0.28867513459481287</v>
      </c>
      <c r="G45">
        <v>0</v>
      </c>
      <c r="H45">
        <v>1.5011840703331152E-3</v>
      </c>
      <c r="I45">
        <v>6.736282196044923E-3</v>
      </c>
      <c r="J45">
        <v>8.3437624200455369E-5</v>
      </c>
      <c r="K45">
        <v>0</v>
      </c>
      <c r="L45">
        <v>0.01</v>
      </c>
      <c r="M45">
        <v>0.02</v>
      </c>
      <c r="N45">
        <v>28.228303535799935</v>
      </c>
      <c r="O45">
        <v>28.405657184072972</v>
      </c>
      <c r="P45">
        <v>2</v>
      </c>
      <c r="Q45" t="s">
        <v>39</v>
      </c>
      <c r="R45">
        <v>10810.937035126257</v>
      </c>
      <c r="S45">
        <v>14584.216742270391</v>
      </c>
      <c r="T4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2.6169417108147863E-2</v>
      </c>
      <c r="U45">
        <f>Tableau1[[#This Row],[S2]]/Tableau1[[#This Row],[S1]]*SQRT(Tableau1[[#This Row],[rho1]]/Tableau1[[#This Row],[rho2]])*Tableau1[[#This Row],[J]]^(1/2)*Tableau1[[#This Row],[d2]]/Tableau1[[#This Row],[d1]]</f>
        <v>0</v>
      </c>
      <c r="V45">
        <v>0.47845448019023312</v>
      </c>
      <c r="W45">
        <v>0.34384488410176589</v>
      </c>
      <c r="X45">
        <v>0.67711009265950572</v>
      </c>
      <c r="Y45">
        <v>1.1794664292299073</v>
      </c>
      <c r="Z45">
        <v>16.556516224925701</v>
      </c>
      <c r="AA45">
        <v>28.84</v>
      </c>
      <c r="AB45">
        <f>Tableau1[[#This Row],[u2]]/Tableau1[[#This Row],[u1]]</f>
        <v>1.0062828305657161</v>
      </c>
      <c r="AC45">
        <f>ABS(Tableau1[[#This Row],[u2]]-Tableau1[[#This Row],[u1]])</f>
        <v>0.17735364827303712</v>
      </c>
      <c r="AD45">
        <f>(Tableau1[[#This Row],[d1]]+0.002)/Tableau1[[#This Row],[d2]]</f>
        <v>0.6</v>
      </c>
      <c r="AE45">
        <f>Tableau1[[#This Row],[S2]]*Tableau1[[#This Row],[u2]]/(Tableau1[[#This Row],[S1]]*Tableau1[[#This Row],[u1]])*(1-Tableau1[[#This Row],[ALPHA]]^3)/(1-Tableau1[[#This Row],[ALPHA]]^4)</f>
        <v>0</v>
      </c>
      <c r="AF45">
        <v>1</v>
      </c>
      <c r="AG45" t="s">
        <v>40</v>
      </c>
      <c r="AH45" t="s">
        <v>41</v>
      </c>
      <c r="AI45" t="s">
        <v>42</v>
      </c>
      <c r="AJ45" t="s">
        <v>43</v>
      </c>
      <c r="AK45" t="s">
        <v>44</v>
      </c>
      <c r="AL45" t="s">
        <v>44</v>
      </c>
      <c r="AM45" t="s">
        <v>44</v>
      </c>
    </row>
    <row r="46" spans="1:39" x14ac:dyDescent="0.25">
      <c r="A46" t="s">
        <v>122</v>
      </c>
      <c r="B46">
        <v>10.010834354685388</v>
      </c>
      <c r="C46">
        <v>1.7598598398233374</v>
      </c>
      <c r="D46">
        <v>0.35009811953002334</v>
      </c>
      <c r="E46">
        <v>2.0119647212529244</v>
      </c>
      <c r="F46">
        <v>0.28867513459481287</v>
      </c>
      <c r="G46">
        <v>0.64777665660324157</v>
      </c>
      <c r="H46">
        <v>1.5004302775959094E-3</v>
      </c>
      <c r="I46">
        <v>6.7261995410919199E-3</v>
      </c>
      <c r="J46">
        <v>8.3451436767967562E-5</v>
      </c>
      <c r="K46">
        <v>2.4830027818679812E-3</v>
      </c>
      <c r="L46">
        <v>0.01</v>
      </c>
      <c r="M46">
        <v>0.02</v>
      </c>
      <c r="N46">
        <v>28.222156630839642</v>
      </c>
      <c r="O46">
        <v>28.363140491368434</v>
      </c>
      <c r="P46">
        <v>2</v>
      </c>
      <c r="Q46" t="s">
        <v>39</v>
      </c>
      <c r="R46">
        <v>10805.897194192434</v>
      </c>
      <c r="S46">
        <v>14562.387546151136</v>
      </c>
      <c r="T4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0.55632942079001568</v>
      </c>
      <c r="U46">
        <f>Tableau1[[#This Row],[S2]]/Tableau1[[#This Row],[S1]]*SQRT(Tableau1[[#This Row],[rho1]]/Tableau1[[#This Row],[rho2]])*Tableau1[[#This Row],[J]]^(1/2)*Tableau1[[#This Row],[d2]]/Tableau1[[#This Row],[d1]]</f>
        <v>4.5103477829793466</v>
      </c>
      <c r="V46">
        <v>0.47835883130704943</v>
      </c>
      <c r="W46">
        <v>0.34369423640336971</v>
      </c>
      <c r="X46">
        <v>0.67691749732034312</v>
      </c>
      <c r="Y46">
        <v>1.1794664292299073</v>
      </c>
      <c r="Z46">
        <v>16.551806934823166</v>
      </c>
      <c r="AA46">
        <v>28.84</v>
      </c>
      <c r="AB46">
        <f>Tableau1[[#This Row],[u2]]/Tableau1[[#This Row],[u1]]</f>
        <v>1.0049955027311672</v>
      </c>
      <c r="AC46">
        <f>ABS(Tableau1[[#This Row],[u2]]-Tableau1[[#This Row],[u1]])</f>
        <v>0.14098386052879164</v>
      </c>
      <c r="AD46">
        <f>(Tableau1[[#This Row],[d1]]+0.002)/Tableau1[[#This Row],[d2]]</f>
        <v>0.6</v>
      </c>
      <c r="AE46">
        <f>Tableau1[[#This Row],[S2]]*Tableau1[[#This Row],[u2]]/(Tableau1[[#This Row],[S1]]*Tableau1[[#This Row],[u1]])*(1-Tableau1[[#This Row],[ALPHA]]^3)/(1-Tableau1[[#This Row],[ALPHA]]^4)</f>
        <v>2.0313147184373896</v>
      </c>
      <c r="AF46">
        <v>1</v>
      </c>
      <c r="AG46" t="s">
        <v>40</v>
      </c>
      <c r="AH46" t="s">
        <v>47</v>
      </c>
      <c r="AI46" t="s">
        <v>42</v>
      </c>
      <c r="AJ46" t="s">
        <v>43</v>
      </c>
      <c r="AK46" t="s">
        <v>44</v>
      </c>
      <c r="AL46" t="s">
        <v>44</v>
      </c>
      <c r="AM46" t="s">
        <v>44</v>
      </c>
    </row>
    <row r="47" spans="1:39" x14ac:dyDescent="0.25">
      <c r="A47" t="s">
        <v>123</v>
      </c>
      <c r="B47">
        <v>10.015388125761987</v>
      </c>
      <c r="C47">
        <v>1.7756728836624485</v>
      </c>
      <c r="D47">
        <v>0.34883993105798827</v>
      </c>
      <c r="E47">
        <v>2.0122086815034095</v>
      </c>
      <c r="F47">
        <v>0.28867513459481287</v>
      </c>
      <c r="G47">
        <v>1.1765412699520441</v>
      </c>
      <c r="H47">
        <v>1.5009409270167235E-3</v>
      </c>
      <c r="I47">
        <v>6.7588150596618645E-3</v>
      </c>
      <c r="J47">
        <v>8.3489397513854502E-5</v>
      </c>
      <c r="K47">
        <v>4.5316868782043452E-3</v>
      </c>
      <c r="L47">
        <v>0.01</v>
      </c>
      <c r="M47">
        <v>0.02</v>
      </c>
      <c r="N47">
        <v>28.23313907197867</v>
      </c>
      <c r="O47">
        <v>28.500674105967089</v>
      </c>
      <c r="P47">
        <v>2</v>
      </c>
      <c r="Q47" t="s">
        <v>39</v>
      </c>
      <c r="R47">
        <v>10809.641526375626</v>
      </c>
      <c r="S47">
        <v>14633.000946561358</v>
      </c>
      <c r="T4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0.99041517234085574</v>
      </c>
      <c r="U47">
        <f>Tableau1[[#This Row],[S2]]/Tableau1[[#This Row],[S1]]*SQRT(Tableau1[[#This Row],[rho1]]/Tableau1[[#This Row],[rho2]])*Tableau1[[#This Row],[J]]^(1/2)*Tableau1[[#This Row],[d2]]/Tableau1[[#This Row],[d1]]</f>
        <v>8.2285582743612622</v>
      </c>
      <c r="V47">
        <v>0.47834243360234896</v>
      </c>
      <c r="W47">
        <v>0.34366840849980612</v>
      </c>
      <c r="X47">
        <v>0.6768844717255923</v>
      </c>
      <c r="Y47">
        <v>1.1794664292299071</v>
      </c>
      <c r="Z47">
        <v>16.55099940174803</v>
      </c>
      <c r="AA47">
        <v>28.839999999999996</v>
      </c>
      <c r="AB47">
        <f>Tableau1[[#This Row],[u2]]/Tableau1[[#This Row],[u1]]</f>
        <v>1.0094759223657828</v>
      </c>
      <c r="AC47">
        <f>ABS(Tableau1[[#This Row],[u2]]-Tableau1[[#This Row],[u1]])</f>
        <v>0.26753503398841971</v>
      </c>
      <c r="AD47">
        <f>(Tableau1[[#This Row],[d1]]+0.002)/Tableau1[[#This Row],[d2]]</f>
        <v>0.6</v>
      </c>
      <c r="AE47">
        <f>Tableau1[[#This Row],[S2]]*Tableau1[[#This Row],[u2]]/(Tableau1[[#This Row],[S1]]*Tableau1[[#This Row],[u1]])*(1-Tableau1[[#This Row],[ALPHA]]^3)/(1-Tableau1[[#This Row],[ALPHA]]^4)</f>
        <v>3.7058764287104955</v>
      </c>
      <c r="AF47">
        <v>1</v>
      </c>
      <c r="AG47" t="s">
        <v>40</v>
      </c>
      <c r="AH47" t="s">
        <v>47</v>
      </c>
      <c r="AI47" t="s">
        <v>42</v>
      </c>
      <c r="AJ47" t="s">
        <v>43</v>
      </c>
      <c r="AK47" t="s">
        <v>44</v>
      </c>
      <c r="AL47" t="s">
        <v>44</v>
      </c>
      <c r="AM47" t="s">
        <v>44</v>
      </c>
    </row>
    <row r="48" spans="1:39" x14ac:dyDescent="0.25">
      <c r="A48" t="s">
        <v>142</v>
      </c>
      <c r="B48">
        <v>10.057229111450747</v>
      </c>
      <c r="C48">
        <v>1.7752463779897538</v>
      </c>
      <c r="D48">
        <v>0.3494577924703377</v>
      </c>
      <c r="E48">
        <v>2.016480909084716</v>
      </c>
      <c r="F48">
        <v>0.59587679629710499</v>
      </c>
      <c r="G48">
        <v>0</v>
      </c>
      <c r="H48">
        <v>1.5041957259279014E-3</v>
      </c>
      <c r="I48">
        <v>6.7755502939224237E-3</v>
      </c>
      <c r="J48">
        <v>8.3838188658308992E-5</v>
      </c>
      <c r="K48">
        <v>0</v>
      </c>
      <c r="L48">
        <v>0.01</v>
      </c>
      <c r="M48">
        <v>0.02</v>
      </c>
      <c r="N48">
        <v>28.318533866489236</v>
      </c>
      <c r="O48">
        <v>28.571243496242889</v>
      </c>
      <c r="P48">
        <v>2</v>
      </c>
      <c r="Q48" t="s">
        <v>39</v>
      </c>
      <c r="R48">
        <v>10834.253253812194</v>
      </c>
      <c r="S48">
        <v>14669.233140609284</v>
      </c>
      <c r="T4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5.3734579051872428E-2</v>
      </c>
      <c r="U48">
        <f>Tableau1[[#This Row],[S2]]/Tableau1[[#This Row],[S1]]*SQRT(Tableau1[[#This Row],[rho1]]/Tableau1[[#This Row],[rho2]])*Tableau1[[#This Row],[J]]^(1/2)*Tableau1[[#This Row],[d2]]/Tableau1[[#This Row],[d1]]</f>
        <v>0</v>
      </c>
      <c r="V48">
        <v>0.4780557539483512</v>
      </c>
      <c r="W48">
        <v>0.3432167953989938</v>
      </c>
      <c r="X48">
        <v>0.67630672205787257</v>
      </c>
      <c r="Y48">
        <v>1.1794664292299071</v>
      </c>
      <c r="Z48">
        <v>16.536872420255293</v>
      </c>
      <c r="AA48">
        <v>28.839999999999996</v>
      </c>
      <c r="AB48">
        <f>Tableau1[[#This Row],[u2]]/Tableau1[[#This Row],[u1]]</f>
        <v>1.0089238246211856</v>
      </c>
      <c r="AC48">
        <f>ABS(Tableau1[[#This Row],[u2]]-Tableau1[[#This Row],[u1]])</f>
        <v>0.25270962975365308</v>
      </c>
      <c r="AD48">
        <f>(Tableau1[[#This Row],[d1]]+0.002)/Tableau1[[#This Row],[d2]]</f>
        <v>0.6</v>
      </c>
      <c r="AE48">
        <f>Tableau1[[#This Row],[S2]]*Tableau1[[#This Row],[u2]]/(Tableau1[[#This Row],[S1]]*Tableau1[[#This Row],[u1]])*(1-Tableau1[[#This Row],[ALPHA]]^3)/(1-Tableau1[[#This Row],[ALPHA]]^4)</f>
        <v>0</v>
      </c>
      <c r="AF48" s="1">
        <v>1</v>
      </c>
      <c r="AG48" s="1" t="s">
        <v>40</v>
      </c>
      <c r="AH48" s="1" t="s">
        <v>41</v>
      </c>
      <c r="AI48" t="s">
        <v>42</v>
      </c>
      <c r="AJ48" t="s">
        <v>43</v>
      </c>
      <c r="AK48" t="s">
        <v>44</v>
      </c>
      <c r="AL48" t="s">
        <v>44</v>
      </c>
      <c r="AM48" t="s">
        <v>44</v>
      </c>
    </row>
    <row r="49" spans="1:40" x14ac:dyDescent="0.25">
      <c r="A49" t="s">
        <v>143</v>
      </c>
      <c r="B49">
        <v>10.059240312729244</v>
      </c>
      <c r="C49">
        <v>1.887456645276127</v>
      </c>
      <c r="D49">
        <v>0.3487644158520648</v>
      </c>
      <c r="E49">
        <v>2.0775917469157532</v>
      </c>
      <c r="F49">
        <v>0.59587679629710499</v>
      </c>
      <c r="G49">
        <v>0.77019509218879967</v>
      </c>
      <c r="H49">
        <v>1.4627093982844432E-3</v>
      </c>
      <c r="I49">
        <v>6.8349898672103882E-3</v>
      </c>
      <c r="J49">
        <v>8.3854954257496197E-5</v>
      </c>
      <c r="K49">
        <v>2.9999967718124395E-3</v>
      </c>
      <c r="L49">
        <v>0.01</v>
      </c>
      <c r="M49">
        <v>0.02</v>
      </c>
      <c r="N49">
        <v>27.873102853265898</v>
      </c>
      <c r="O49">
        <v>28.821889192614812</v>
      </c>
      <c r="P49">
        <v>2</v>
      </c>
      <c r="Q49" t="s">
        <v>39</v>
      </c>
      <c r="R49">
        <v>10551.789193245946</v>
      </c>
      <c r="S49">
        <v>14797.92127965558</v>
      </c>
      <c r="T4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0.689216751710089</v>
      </c>
      <c r="U49">
        <f>Tableau1[[#This Row],[S2]]/Tableau1[[#This Row],[S1]]*SQRT(Tableau1[[#This Row],[rho1]]/Tableau1[[#This Row],[rho2]])*Tableau1[[#This Row],[J]]^(1/2)*Tableau1[[#This Row],[d2]]/Tableau1[[#This Row],[d1]]</f>
        <v>2.6730765452373375</v>
      </c>
      <c r="V49">
        <v>0.47405141048664479</v>
      </c>
      <c r="W49">
        <v>0.33689556204534549</v>
      </c>
      <c r="X49">
        <v>0.66816366235067826</v>
      </c>
      <c r="Y49">
        <v>1.1794664292299071</v>
      </c>
      <c r="Z49">
        <v>16.337760486133675</v>
      </c>
      <c r="AA49">
        <v>28.839999999999996</v>
      </c>
      <c r="AB49">
        <f>Tableau1[[#This Row],[u2]]/Tableau1[[#This Row],[u1]]</f>
        <v>1.034039494789786</v>
      </c>
      <c r="AC49">
        <f>ABS(Tableau1[[#This Row],[u2]]-Tableau1[[#This Row],[u1]])</f>
        <v>0.94878633934891354</v>
      </c>
      <c r="AD49">
        <f>(Tableau1[[#This Row],[d1]]+0.002)/Tableau1[[#This Row],[d2]]</f>
        <v>0.6</v>
      </c>
      <c r="AE49">
        <f>Tableau1[[#This Row],[S2]]*Tableau1[[#This Row],[u2]]/(Tableau1[[#This Row],[S1]]*Tableau1[[#This Row],[u1]])*(1-Tableau1[[#This Row],[ALPHA]]^3)/(1-Tableau1[[#This Row],[ALPHA]]^4)</f>
        <v>1.2038671940866685</v>
      </c>
      <c r="AF49" s="1">
        <v>1</v>
      </c>
      <c r="AG49" s="1" t="s">
        <v>40</v>
      </c>
      <c r="AH49" s="1" t="s">
        <v>47</v>
      </c>
      <c r="AI49" t="s">
        <v>42</v>
      </c>
      <c r="AJ49" t="s">
        <v>43</v>
      </c>
      <c r="AK49" t="s">
        <v>44</v>
      </c>
      <c r="AL49" t="s">
        <v>44</v>
      </c>
      <c r="AM49" t="s">
        <v>44</v>
      </c>
    </row>
    <row r="50" spans="1:40" x14ac:dyDescent="0.25">
      <c r="A50" t="s">
        <v>144</v>
      </c>
      <c r="B50">
        <v>10.055720710491872</v>
      </c>
      <c r="C50">
        <v>1.753447014037669</v>
      </c>
      <c r="D50">
        <v>0.35950194026448828</v>
      </c>
      <c r="E50">
        <v>2.0769994885294967</v>
      </c>
      <c r="F50">
        <v>0.59587679629710499</v>
      </c>
      <c r="G50">
        <v>1.4258003432633632</v>
      </c>
      <c r="H50">
        <v>1.4625906586712596E-3</v>
      </c>
      <c r="I50">
        <v>6.58696189880371E-3</v>
      </c>
      <c r="J50">
        <v>8.3825614458918579E-5</v>
      </c>
      <c r="K50">
        <v>5.3521223354339592E-3</v>
      </c>
      <c r="L50">
        <v>0.01</v>
      </c>
      <c r="M50">
        <v>0.02</v>
      </c>
      <c r="N50">
        <v>27.867593332973954</v>
      </c>
      <c r="O50">
        <v>27.776001084370368</v>
      </c>
      <c r="P50">
        <v>2</v>
      </c>
      <c r="Q50" t="s">
        <v>39</v>
      </c>
      <c r="R50">
        <v>10550.773648883413</v>
      </c>
      <c r="S50">
        <v>14260.934623794907</v>
      </c>
      <c r="T5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1.2203170062177948</v>
      </c>
      <c r="U50">
        <f>Tableau1[[#This Row],[S2]]/Tableau1[[#This Row],[S1]]*SQRT(Tableau1[[#This Row],[rho1]]/Tableau1[[#This Row],[rho2]])*Tableau1[[#This Row],[J]]^(1/2)*Tableau1[[#This Row],[d2]]/Tableau1[[#This Row],[d1]]</f>
        <v>4.7698255170353372</v>
      </c>
      <c r="V50">
        <v>0.4740893743025078</v>
      </c>
      <c r="W50">
        <v>0.33695560652669554</v>
      </c>
      <c r="X50">
        <v>0.66824150981744102</v>
      </c>
      <c r="Y50">
        <v>1.1794664292299071</v>
      </c>
      <c r="Z50">
        <v>16.339663991723828</v>
      </c>
      <c r="AA50">
        <v>28.839999999999996</v>
      </c>
      <c r="AB50">
        <f>Tableau1[[#This Row],[u2]]/Tableau1[[#This Row],[u1]]</f>
        <v>0.99671330611476916</v>
      </c>
      <c r="AC50">
        <f>ABS(Tableau1[[#This Row],[u2]]-Tableau1[[#This Row],[u1]])</f>
        <v>9.1592248603586057E-2</v>
      </c>
      <c r="AD50">
        <f>(Tableau1[[#This Row],[d1]]+0.002)/Tableau1[[#This Row],[d2]]</f>
        <v>0.6</v>
      </c>
      <c r="AE50">
        <f>Tableau1[[#This Row],[S2]]*Tableau1[[#This Row],[u2]]/(Tableau1[[#This Row],[S1]]*Tableau1[[#This Row],[u1]])*(1-Tableau1[[#This Row],[ALPHA]]^3)/(1-Tableau1[[#This Row],[ALPHA]]^4)</f>
        <v>2.1481750949883414</v>
      </c>
      <c r="AF50" s="1">
        <v>1</v>
      </c>
      <c r="AG50" s="1" t="s">
        <v>40</v>
      </c>
      <c r="AH50" s="1" t="s">
        <v>47</v>
      </c>
      <c r="AI50" t="s">
        <v>42</v>
      </c>
      <c r="AJ50" t="s">
        <v>43</v>
      </c>
      <c r="AK50" t="s">
        <v>44</v>
      </c>
      <c r="AL50" t="s">
        <v>44</v>
      </c>
      <c r="AM50" t="s">
        <v>44</v>
      </c>
    </row>
    <row r="51" spans="1:40" x14ac:dyDescent="0.25">
      <c r="A51" t="s">
        <v>124</v>
      </c>
      <c r="B51">
        <v>10.016016626161518</v>
      </c>
      <c r="C51">
        <v>2.3440942585436351</v>
      </c>
      <c r="D51">
        <v>0.33001386137131056</v>
      </c>
      <c r="E51">
        <v>2.1754594829731237</v>
      </c>
      <c r="F51">
        <v>0.86602540378443837</v>
      </c>
      <c r="G51">
        <v>0.95202267817933461</v>
      </c>
      <c r="H51">
        <v>1.394660062541036E-3</v>
      </c>
      <c r="I51">
        <v>7.3320692777633671E-3</v>
      </c>
      <c r="J51">
        <v>8.3494636763600517E-5</v>
      </c>
      <c r="K51">
        <v>3.9779197645187381E-3</v>
      </c>
      <c r="L51">
        <v>0.01</v>
      </c>
      <c r="M51">
        <v>0.02</v>
      </c>
      <c r="N51">
        <v>27.086587103079051</v>
      </c>
      <c r="O51">
        <v>30.917981208730051</v>
      </c>
      <c r="P51">
        <v>2</v>
      </c>
      <c r="Q51" t="s">
        <v>39</v>
      </c>
      <c r="R51">
        <v>10086.070332308649</v>
      </c>
      <c r="S51">
        <v>15874.110437212115</v>
      </c>
      <c r="T5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0.87788772946246996</v>
      </c>
      <c r="U51">
        <f>Tableau1[[#This Row],[S2]]/Tableau1[[#This Row],[S1]]*SQRT(Tableau1[[#This Row],[rho1]]/Tableau1[[#This Row],[rho2]])*Tableau1[[#This Row],[J]]^(1/2)*Tableau1[[#This Row],[d2]]/Tableau1[[#This Row],[d1]]</f>
        <v>2.5095941835420215</v>
      </c>
      <c r="V51">
        <v>0.46799257275042661</v>
      </c>
      <c r="W51">
        <v>0.32728440440995282</v>
      </c>
      <c r="X51">
        <v>0.65557773533167152</v>
      </c>
      <c r="Y51">
        <v>1.1794664292299071</v>
      </c>
      <c r="Z51">
        <v>16.030012740006512</v>
      </c>
      <c r="AA51">
        <v>28.839999999999996</v>
      </c>
      <c r="AB51">
        <f>Tableau1[[#This Row],[u2]]/Tableau1[[#This Row],[u1]]</f>
        <v>1.1414498656132086</v>
      </c>
      <c r="AC51">
        <f>ABS(Tableau1[[#This Row],[u2]]-Tableau1[[#This Row],[u1]])</f>
        <v>3.8313941056510004</v>
      </c>
      <c r="AD51">
        <f>(Tableau1[[#This Row],[d1]]+0.002)/Tableau1[[#This Row],[d2]]</f>
        <v>0.6</v>
      </c>
      <c r="AE51">
        <f>Tableau1[[#This Row],[S2]]*Tableau1[[#This Row],[u2]]/(Tableau1[[#This Row],[S1]]*Tableau1[[#This Row],[u1]])*(1-Tableau1[[#This Row],[ALPHA]]^3)/(1-Tableau1[[#This Row],[ALPHA]]^4)</f>
        <v>1.1302400275143296</v>
      </c>
      <c r="AF51">
        <v>1</v>
      </c>
      <c r="AG51" t="s">
        <v>40</v>
      </c>
      <c r="AH51" t="s">
        <v>41</v>
      </c>
      <c r="AI51" t="s">
        <v>42</v>
      </c>
      <c r="AJ51" t="s">
        <v>43</v>
      </c>
      <c r="AK51" t="s">
        <v>44</v>
      </c>
      <c r="AL51" t="s">
        <v>44</v>
      </c>
      <c r="AM51" t="s">
        <v>44</v>
      </c>
      <c r="AN51" t="s">
        <v>49</v>
      </c>
    </row>
    <row r="52" spans="1:40" x14ac:dyDescent="0.25">
      <c r="A52" t="s">
        <v>125</v>
      </c>
      <c r="B52">
        <v>10.011674259764758</v>
      </c>
      <c r="C52">
        <v>3.5626481432296631</v>
      </c>
      <c r="D52">
        <v>0.35004224129133582</v>
      </c>
      <c r="E52">
        <v>3.0028890457515778</v>
      </c>
      <c r="F52">
        <v>0.86602540378443837</v>
      </c>
      <c r="G52">
        <v>0</v>
      </c>
      <c r="H52">
        <v>1.0329276279546699E-3</v>
      </c>
      <c r="I52">
        <v>7.1956924295425405E-3</v>
      </c>
      <c r="J52">
        <v>8.3458438310809928E-5</v>
      </c>
      <c r="K52">
        <v>0</v>
      </c>
      <c r="L52">
        <v>0.01</v>
      </c>
      <c r="M52">
        <v>0.02</v>
      </c>
      <c r="N52">
        <v>23.176452479319487</v>
      </c>
      <c r="O52">
        <v>30.342905241651415</v>
      </c>
      <c r="P52">
        <v>2</v>
      </c>
      <c r="Q52" t="s">
        <v>39</v>
      </c>
      <c r="R52">
        <v>7633.2852260107384</v>
      </c>
      <c r="S52">
        <v>15578.851204419281</v>
      </c>
      <c r="T5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4.2786212980584257E-2</v>
      </c>
      <c r="U52">
        <f>Tableau1[[#This Row],[S2]]/Tableau1[[#This Row],[S1]]*SQRT(Tableau1[[#This Row],[rho1]]/Tableau1[[#This Row],[rho2]])*Tableau1[[#This Row],[J]]^(1/2)*Tableau1[[#This Row],[d2]]/Tableau1[[#This Row],[d1]]</f>
        <v>0</v>
      </c>
      <c r="V52">
        <v>0.42955345623592533</v>
      </c>
      <c r="W52">
        <v>0.26496642548222682</v>
      </c>
      <c r="X52">
        <v>0.56745712223857647</v>
      </c>
      <c r="Y52">
        <v>1.1794664292299071</v>
      </c>
      <c r="Z52">
        <v>13.875310903122372</v>
      </c>
      <c r="AA52">
        <v>28.839999999999996</v>
      </c>
      <c r="AB52">
        <f>Tableau1[[#This Row],[u2]]/Tableau1[[#This Row],[u1]]</f>
        <v>1.3092126704346407</v>
      </c>
      <c r="AC52">
        <f>ABS(Tableau1[[#This Row],[u2]]-Tableau1[[#This Row],[u1]])</f>
        <v>7.1664527623319287</v>
      </c>
      <c r="AD52">
        <f>(Tableau1[[#This Row],[d1]]+0.002)/Tableau1[[#This Row],[d2]]</f>
        <v>0.6</v>
      </c>
      <c r="AE52">
        <f>Tableau1[[#This Row],[S2]]*Tableau1[[#This Row],[u2]]/(Tableau1[[#This Row],[S1]]*Tableau1[[#This Row],[u1]])*(1-Tableau1[[#This Row],[ALPHA]]^3)/(1-Tableau1[[#This Row],[ALPHA]]^4)</f>
        <v>0</v>
      </c>
      <c r="AF52">
        <v>1</v>
      </c>
      <c r="AG52" t="s">
        <v>40</v>
      </c>
      <c r="AH52" t="s">
        <v>41</v>
      </c>
      <c r="AI52" t="s">
        <v>42</v>
      </c>
      <c r="AJ52" t="s">
        <v>43</v>
      </c>
      <c r="AK52" t="s">
        <v>44</v>
      </c>
      <c r="AL52" t="s">
        <v>44</v>
      </c>
      <c r="AM52" t="s">
        <v>44</v>
      </c>
    </row>
    <row r="53" spans="1:40" x14ac:dyDescent="0.25">
      <c r="A53" t="s">
        <v>126</v>
      </c>
      <c r="B53">
        <v>10.026695419313542</v>
      </c>
      <c r="C53">
        <v>5.6047352421689673</v>
      </c>
      <c r="D53">
        <v>0.35007344827609216</v>
      </c>
      <c r="E53">
        <v>4.031755122006353</v>
      </c>
      <c r="F53">
        <v>0</v>
      </c>
      <c r="G53">
        <v>0</v>
      </c>
      <c r="H53">
        <v>7.9181823594288037E-4</v>
      </c>
      <c r="I53">
        <v>7.4484205675125134E-3</v>
      </c>
      <c r="J53">
        <v>8.3583656379739436E-5</v>
      </c>
      <c r="K53">
        <v>0</v>
      </c>
      <c r="L53">
        <v>0.01</v>
      </c>
      <c r="M53">
        <v>0.02</v>
      </c>
      <c r="N53">
        <v>20.591708586578999</v>
      </c>
      <c r="O53">
        <v>31.408613096372687</v>
      </c>
      <c r="P53">
        <v>2</v>
      </c>
      <c r="Q53" t="s">
        <v>39</v>
      </c>
      <c r="R53">
        <v>6011.666102786121</v>
      </c>
      <c r="S53">
        <v>16126.013843061204</v>
      </c>
      <c r="T5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53" t="e">
        <f>Tableau1[[#This Row],[S2]]/Tableau1[[#This Row],[S1]]*SQRT(Tableau1[[#This Row],[rho1]]/Tableau1[[#This Row],[rho2]])*Tableau1[[#This Row],[J]]^(1/2)*Tableau1[[#This Row],[d2]]/Tableau1[[#This Row],[d1]]</f>
        <v>#DIV/0!</v>
      </c>
      <c r="V53">
        <v>0.40049073556301779</v>
      </c>
      <c r="W53">
        <v>0.21625374716238763</v>
      </c>
      <c r="X53">
        <v>0.489602058035149</v>
      </c>
      <c r="Y53">
        <v>1.1794664292299073</v>
      </c>
      <c r="Z53">
        <v>11.971619542366248</v>
      </c>
      <c r="AA53">
        <v>28.84</v>
      </c>
      <c r="AB53">
        <f>Tableau1[[#This Row],[u2]]/Tableau1[[#This Row],[u1]]</f>
        <v>1.525303884537478</v>
      </c>
      <c r="AC53">
        <f>ABS(Tableau1[[#This Row],[u2]]-Tableau1[[#This Row],[u1]])</f>
        <v>10.816904509793687</v>
      </c>
      <c r="AD53">
        <f>(Tableau1[[#This Row],[d1]]+0.002)/Tableau1[[#This Row],[d2]]</f>
        <v>0.6</v>
      </c>
      <c r="AE53" t="e">
        <f>Tableau1[[#This Row],[S2]]*Tableau1[[#This Row],[u2]]/(Tableau1[[#This Row],[S1]]*Tableau1[[#This Row],[u1]])*(1-Tableau1[[#This Row],[ALPHA]]^3)/(1-Tableau1[[#This Row],[ALPHA]]^4)</f>
        <v>#DIV/0!</v>
      </c>
      <c r="AF53">
        <v>1</v>
      </c>
      <c r="AG53" t="s">
        <v>40</v>
      </c>
      <c r="AH53" t="s">
        <v>41</v>
      </c>
      <c r="AI53" t="s">
        <v>42</v>
      </c>
      <c r="AJ53" t="s">
        <v>43</v>
      </c>
      <c r="AK53" t="s">
        <v>44</v>
      </c>
      <c r="AL53" t="s">
        <v>44</v>
      </c>
      <c r="AM53" t="s">
        <v>44</v>
      </c>
    </row>
    <row r="54" spans="1:40" x14ac:dyDescent="0.25">
      <c r="A54" t="s">
        <v>127</v>
      </c>
      <c r="B54">
        <v>10.02401572215555</v>
      </c>
      <c r="C54">
        <v>5.6361165143086014</v>
      </c>
      <c r="D54">
        <v>0.34906545955378443</v>
      </c>
      <c r="E54">
        <v>4.0297304329677832</v>
      </c>
      <c r="F54">
        <v>0</v>
      </c>
      <c r="G54">
        <v>0.65693239060421038</v>
      </c>
      <c r="H54">
        <v>7.9196236630744543E-4</v>
      </c>
      <c r="I54">
        <v>7.469621682167053E-3</v>
      </c>
      <c r="J54">
        <v>8.3561318124004239E-5</v>
      </c>
      <c r="K54">
        <v>2.796413869857788E-3</v>
      </c>
      <c r="L54">
        <v>0.01</v>
      </c>
      <c r="M54">
        <v>0.02</v>
      </c>
      <c r="N54">
        <v>20.590045647900947</v>
      </c>
      <c r="O54">
        <v>31.498014278993971</v>
      </c>
      <c r="P54">
        <v>2</v>
      </c>
      <c r="Q54" t="s">
        <v>39</v>
      </c>
      <c r="R54">
        <v>6012.4445479574106</v>
      </c>
      <c r="S54">
        <v>16171.914778072667</v>
      </c>
      <c r="T5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0.614353127088342</v>
      </c>
      <c r="U54" t="e">
        <f>Tableau1[[#This Row],[S2]]/Tableau1[[#This Row],[S1]]*SQRT(Tableau1[[#This Row],[rho1]]/Tableau1[[#This Row],[rho2]])*Tableau1[[#This Row],[J]]^(1/2)*Tableau1[[#This Row],[d2]]/Tableau1[[#This Row],[d1]]</f>
        <v>#DIV/0!</v>
      </c>
      <c r="V54">
        <v>0.40053552210613402</v>
      </c>
      <c r="W54">
        <v>0.21632990785388384</v>
      </c>
      <c r="X54">
        <v>0.48973072715235622</v>
      </c>
      <c r="Y54">
        <v>1.1794664292299073</v>
      </c>
      <c r="Z54">
        <v>11.97476572546082</v>
      </c>
      <c r="AA54">
        <v>28.84</v>
      </c>
      <c r="AB54">
        <f>Tableau1[[#This Row],[u2]]/Tableau1[[#This Row],[u1]]</f>
        <v>1.5297690358547134</v>
      </c>
      <c r="AC54">
        <f>ABS(Tableau1[[#This Row],[u2]]-Tableau1[[#This Row],[u1]])</f>
        <v>10.907968631093024</v>
      </c>
      <c r="AD54">
        <f>(Tableau1[[#This Row],[d1]]+0.002)/Tableau1[[#This Row],[d2]]</f>
        <v>0.6</v>
      </c>
      <c r="AE54" t="e">
        <f>Tableau1[[#This Row],[S2]]*Tableau1[[#This Row],[u2]]/(Tableau1[[#This Row],[S1]]*Tableau1[[#This Row],[u1]])*(1-Tableau1[[#This Row],[ALPHA]]^3)/(1-Tableau1[[#This Row],[ALPHA]]^4)</f>
        <v>#DIV/0!</v>
      </c>
      <c r="AF54">
        <v>1</v>
      </c>
      <c r="AG54" t="s">
        <v>40</v>
      </c>
      <c r="AH54" t="s">
        <v>41</v>
      </c>
      <c r="AI54" t="s">
        <v>42</v>
      </c>
      <c r="AJ54" t="s">
        <v>43</v>
      </c>
      <c r="AK54" t="s">
        <v>44</v>
      </c>
      <c r="AL54" t="s">
        <v>44</v>
      </c>
      <c r="AM54" t="s">
        <v>44</v>
      </c>
    </row>
    <row r="55" spans="1:40" x14ac:dyDescent="0.25">
      <c r="A55" t="s">
        <v>128</v>
      </c>
      <c r="B55">
        <v>10.028563779592151</v>
      </c>
      <c r="C55">
        <v>6.0076596986076778</v>
      </c>
      <c r="D55">
        <v>0.3390948698416984</v>
      </c>
      <c r="E55">
        <v>4.0310383772178877</v>
      </c>
      <c r="F55">
        <v>0</v>
      </c>
      <c r="G55">
        <v>1.0175486433070231</v>
      </c>
      <c r="H55">
        <v>7.9209173440654662E-4</v>
      </c>
      <c r="I55">
        <v>7.7138126516342167E-3</v>
      </c>
      <c r="J55">
        <v>8.3599231240348034E-5</v>
      </c>
      <c r="K55">
        <v>4.4730775928497318E-3</v>
      </c>
      <c r="L55">
        <v>0.01</v>
      </c>
      <c r="M55">
        <v>0.02</v>
      </c>
      <c r="N55">
        <v>20.596905276098536</v>
      </c>
      <c r="O55">
        <v>32.52772247177176</v>
      </c>
      <c r="P55">
        <v>2</v>
      </c>
      <c r="Q55" t="s">
        <v>39</v>
      </c>
      <c r="R55">
        <v>6013.6307452017209</v>
      </c>
      <c r="S55">
        <v>16700.594236796238</v>
      </c>
      <c r="T5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0.95542575295200327</v>
      </c>
      <c r="U55" t="e">
        <f>Tableau1[[#This Row],[S2]]/Tableau1[[#This Row],[S1]]*SQRT(Tableau1[[#This Row],[rho1]]/Tableau1[[#This Row],[rho2]])*Tableau1[[#This Row],[J]]^(1/2)*Tableau1[[#This Row],[d2]]/Tableau1[[#This Row],[d1]]</f>
        <v>#DIV/0!</v>
      </c>
      <c r="V55">
        <v>0.40050658572773945</v>
      </c>
      <c r="W55">
        <v>0.21628070117464746</v>
      </c>
      <c r="X55">
        <v>0.48964759792074514</v>
      </c>
      <c r="Y55">
        <v>1.1794664292299075</v>
      </c>
      <c r="Z55">
        <v>11.972733071558809</v>
      </c>
      <c r="AA55">
        <v>28.840000000000003</v>
      </c>
      <c r="AB55">
        <f>Tableau1[[#This Row],[u2]]/Tableau1[[#This Row],[u1]]</f>
        <v>1.5792529040524461</v>
      </c>
      <c r="AC55">
        <f>ABS(Tableau1[[#This Row],[u2]]-Tableau1[[#This Row],[u1]])</f>
        <v>11.930817195673225</v>
      </c>
      <c r="AD55">
        <f>(Tableau1[[#This Row],[d1]]+0.002)/Tableau1[[#This Row],[d2]]</f>
        <v>0.6</v>
      </c>
      <c r="AE55" t="e">
        <f>Tableau1[[#This Row],[S2]]*Tableau1[[#This Row],[u2]]/(Tableau1[[#This Row],[S1]]*Tableau1[[#This Row],[u1]])*(1-Tableau1[[#This Row],[ALPHA]]^3)/(1-Tableau1[[#This Row],[ALPHA]]^4)</f>
        <v>#DIV/0!</v>
      </c>
      <c r="AF55">
        <v>1</v>
      </c>
      <c r="AG55" t="s">
        <v>40</v>
      </c>
      <c r="AH55" t="s">
        <v>41</v>
      </c>
      <c r="AI55" t="s">
        <v>42</v>
      </c>
      <c r="AJ55" t="s">
        <v>43</v>
      </c>
      <c r="AK55" t="s">
        <v>44</v>
      </c>
      <c r="AL55" t="s">
        <v>44</v>
      </c>
      <c r="AM55" t="s">
        <v>44</v>
      </c>
    </row>
    <row r="56" spans="1:40" x14ac:dyDescent="0.25">
      <c r="A56" t="s">
        <v>128</v>
      </c>
      <c r="B56">
        <v>10.024329972355316</v>
      </c>
      <c r="C56">
        <v>5.9750362256655389</v>
      </c>
      <c r="D56">
        <v>0.33976723979019263</v>
      </c>
      <c r="E56">
        <v>4.027928644737</v>
      </c>
      <c r="F56">
        <v>0</v>
      </c>
      <c r="G56">
        <v>1.0148433662495466</v>
      </c>
      <c r="H56">
        <v>7.9230408867737455E-4</v>
      </c>
      <c r="I56">
        <v>7.6933493423461908E-3</v>
      </c>
      <c r="J56">
        <v>8.3563937748877247E-5</v>
      </c>
      <c r="K56">
        <v>4.4493506765365589E-3</v>
      </c>
      <c r="L56">
        <v>0.01</v>
      </c>
      <c r="M56">
        <v>0.02</v>
      </c>
      <c r="N56">
        <v>20.594112031972109</v>
      </c>
      <c r="O56">
        <v>32.44143247803774</v>
      </c>
      <c r="P56">
        <v>2</v>
      </c>
      <c r="Q56" t="s">
        <v>39</v>
      </c>
      <c r="R56">
        <v>6014.7576654274071</v>
      </c>
      <c r="S56">
        <v>16656.290668561527</v>
      </c>
      <c r="T5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0.95256810907077927</v>
      </c>
      <c r="U56" t="e">
        <f>Tableau1[[#This Row],[S2]]/Tableau1[[#This Row],[S1]]*SQRT(Tableau1[[#This Row],[rho1]]/Tableau1[[#This Row],[rho2]])*Tableau1[[#This Row],[J]]^(1/2)*Tableau1[[#This Row],[d2]]/Tableau1[[#This Row],[d1]]</f>
        <v>#DIV/0!</v>
      </c>
      <c r="V56">
        <v>0.4005754102649598</v>
      </c>
      <c r="W56">
        <v>0.21639773583263283</v>
      </c>
      <c r="X56">
        <v>0.48984529927449638</v>
      </c>
      <c r="Y56">
        <v>1.1794664292299071</v>
      </c>
      <c r="Z56">
        <v>11.977567212574513</v>
      </c>
      <c r="AA56">
        <v>28.839999999999996</v>
      </c>
      <c r="AB56">
        <f>Tableau1[[#This Row],[u2]]/Tableau1[[#This Row],[u1]]</f>
        <v>1.5752770708284392</v>
      </c>
      <c r="AC56">
        <f>ABS(Tableau1[[#This Row],[u2]]-Tableau1[[#This Row],[u1]])</f>
        <v>11.847320446065631</v>
      </c>
      <c r="AD56">
        <f>(Tableau1[[#This Row],[d1]]+0.002)/Tableau1[[#This Row],[d2]]</f>
        <v>0.6</v>
      </c>
      <c r="AE56" t="e">
        <f>Tableau1[[#This Row],[S2]]*Tableau1[[#This Row],[u2]]/(Tableau1[[#This Row],[S1]]*Tableau1[[#This Row],[u1]])*(1-Tableau1[[#This Row],[ALPHA]]^3)/(1-Tableau1[[#This Row],[ALPHA]]^4)</f>
        <v>#DIV/0!</v>
      </c>
      <c r="AF56">
        <v>1</v>
      </c>
      <c r="AG56" t="s">
        <v>40</v>
      </c>
      <c r="AH56" t="s">
        <v>41</v>
      </c>
      <c r="AI56" t="s">
        <v>42</v>
      </c>
      <c r="AJ56" t="s">
        <v>43</v>
      </c>
      <c r="AK56" t="s">
        <v>44</v>
      </c>
      <c r="AL56" t="s">
        <v>44</v>
      </c>
      <c r="AM56" t="s">
        <v>44</v>
      </c>
    </row>
    <row r="57" spans="1:40" x14ac:dyDescent="0.25">
      <c r="A57" t="s">
        <v>129</v>
      </c>
      <c r="B57">
        <v>10.013279792603564</v>
      </c>
      <c r="C57">
        <v>5.4784953664075005</v>
      </c>
      <c r="D57">
        <v>0.35118580278932582</v>
      </c>
      <c r="E57">
        <v>3.9882559275529665</v>
      </c>
      <c r="F57">
        <v>0.28867513459481287</v>
      </c>
      <c r="G57">
        <v>0</v>
      </c>
      <c r="H57">
        <v>7.9847304291555876E-4</v>
      </c>
      <c r="I57">
        <v>7.4049393749237059E-3</v>
      </c>
      <c r="J57">
        <v>8.347182221243384E-5</v>
      </c>
      <c r="K57">
        <v>0</v>
      </c>
      <c r="L57">
        <v>0.01</v>
      </c>
      <c r="M57">
        <v>0.02</v>
      </c>
      <c r="N57">
        <v>20.647432786929937</v>
      </c>
      <c r="O57">
        <v>31.225260942367399</v>
      </c>
      <c r="P57">
        <v>2</v>
      </c>
      <c r="Q57" t="s">
        <v>39</v>
      </c>
      <c r="R57">
        <v>6055.3488783427665</v>
      </c>
      <c r="S57">
        <v>16031.875990983108</v>
      </c>
      <c r="T5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9.60652682270015E-3</v>
      </c>
      <c r="U57">
        <f>Tableau1[[#This Row],[S2]]/Tableau1[[#This Row],[S1]]*SQRT(Tableau1[[#This Row],[rho1]]/Tableau1[[#This Row],[rho2]])*Tableau1[[#This Row],[J]]^(1/2)*Tableau1[[#This Row],[d2]]/Tableau1[[#This Row],[d1]]</f>
        <v>0</v>
      </c>
      <c r="V57">
        <v>0.40146145130778627</v>
      </c>
      <c r="W57">
        <v>0.21790370820897065</v>
      </c>
      <c r="X57">
        <v>0.49238443545807586</v>
      </c>
      <c r="Y57">
        <v>1.1794664292299071</v>
      </c>
      <c r="Z57">
        <v>12.039653496439534</v>
      </c>
      <c r="AA57">
        <v>28.839999999999996</v>
      </c>
      <c r="AB57">
        <f>Tableau1[[#This Row],[u2]]/Tableau1[[#This Row],[u1]]</f>
        <v>1.5123071843649905</v>
      </c>
      <c r="AC57">
        <f>ABS(Tableau1[[#This Row],[u2]]-Tableau1[[#This Row],[u1]])</f>
        <v>10.577828155437462</v>
      </c>
      <c r="AD57">
        <f>(Tableau1[[#This Row],[d1]]+0.002)/Tableau1[[#This Row],[d2]]</f>
        <v>0.6</v>
      </c>
      <c r="AE57">
        <f>Tableau1[[#This Row],[S2]]*Tableau1[[#This Row],[u2]]/(Tableau1[[#This Row],[S1]]*Tableau1[[#This Row],[u1]])*(1-Tableau1[[#This Row],[ALPHA]]^3)/(1-Tableau1[[#This Row],[ALPHA]]^4)</f>
        <v>0</v>
      </c>
      <c r="AF57">
        <v>1</v>
      </c>
      <c r="AG57" t="s">
        <v>40</v>
      </c>
      <c r="AH57" t="s">
        <v>41</v>
      </c>
      <c r="AI57" t="s">
        <v>42</v>
      </c>
      <c r="AJ57" t="s">
        <v>43</v>
      </c>
      <c r="AK57" t="s">
        <v>44</v>
      </c>
      <c r="AL57" t="s">
        <v>44</v>
      </c>
      <c r="AM57" t="s">
        <v>44</v>
      </c>
    </row>
    <row r="58" spans="1:40" x14ac:dyDescent="0.25">
      <c r="A58" t="s">
        <v>130</v>
      </c>
      <c r="B58">
        <v>10.011777105284684</v>
      </c>
      <c r="C58">
        <v>5.4548131011024665</v>
      </c>
      <c r="D58">
        <v>0.35205244093404459</v>
      </c>
      <c r="E58">
        <v>3.9911850790698415</v>
      </c>
      <c r="F58">
        <v>0.28867513459481287</v>
      </c>
      <c r="G58">
        <v>0.59200172185212541</v>
      </c>
      <c r="H58">
        <v>7.9782855213901582E-4</v>
      </c>
      <c r="I58">
        <v>7.3843671417236321E-3</v>
      </c>
      <c r="J58">
        <v>8.3459295642586558E-5</v>
      </c>
      <c r="K58">
        <v>2.491256337165832E-3</v>
      </c>
      <c r="L58">
        <v>0.01</v>
      </c>
      <c r="M58">
        <v>0.02</v>
      </c>
      <c r="N58">
        <v>20.638670461683212</v>
      </c>
      <c r="O58">
        <v>31.138511636624948</v>
      </c>
      <c r="P58">
        <v>2</v>
      </c>
      <c r="Q58" t="s">
        <v>39</v>
      </c>
      <c r="R58">
        <v>6050.9216964514335</v>
      </c>
      <c r="S58">
        <v>15987.33659979808</v>
      </c>
      <c r="T5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0.56208628910809266</v>
      </c>
      <c r="U58">
        <f>Tableau1[[#This Row],[S2]]/Tableau1[[#This Row],[S1]]*SQRT(Tableau1[[#This Row],[rho1]]/Tableau1[[#This Row],[rho2]])*Tableau1[[#This Row],[J]]^(1/2)*Tableau1[[#This Row],[d2]]/Tableau1[[#This Row],[d1]]</f>
        <v>6.188134179858845</v>
      </c>
      <c r="V58">
        <v>0.40139552040247145</v>
      </c>
      <c r="W58">
        <v>0.21779169389104117</v>
      </c>
      <c r="X58">
        <v>0.49219588266992836</v>
      </c>
      <c r="Y58">
        <v>1.1794664292299075</v>
      </c>
      <c r="Z58">
        <v>12.035043053721191</v>
      </c>
      <c r="AA58">
        <v>28.840000000000003</v>
      </c>
      <c r="AB58">
        <f>Tableau1[[#This Row],[u2]]/Tableau1[[#This Row],[u1]]</f>
        <v>1.5087460064074985</v>
      </c>
      <c r="AC58">
        <f>ABS(Tableau1[[#This Row],[u2]]-Tableau1[[#This Row],[u1]])</f>
        <v>10.499841174941736</v>
      </c>
      <c r="AD58">
        <f>(Tableau1[[#This Row],[d1]]+0.002)/Tableau1[[#This Row],[d2]]</f>
        <v>0.6</v>
      </c>
      <c r="AE58">
        <f>Tableau1[[#This Row],[S2]]*Tableau1[[#This Row],[u2]]/(Tableau1[[#This Row],[S1]]*Tableau1[[#This Row],[u1]])*(1-Tableau1[[#This Row],[ALPHA]]^3)/(1-Tableau1[[#This Row],[ALPHA]]^4)</f>
        <v>2.7869354302673104</v>
      </c>
      <c r="AF58">
        <v>1</v>
      </c>
      <c r="AG58" t="s">
        <v>40</v>
      </c>
      <c r="AH58" t="s">
        <v>47</v>
      </c>
      <c r="AI58" t="s">
        <v>42</v>
      </c>
      <c r="AJ58" t="s">
        <v>43</v>
      </c>
      <c r="AK58" t="s">
        <v>44</v>
      </c>
      <c r="AL58" t="s">
        <v>44</v>
      </c>
      <c r="AM58" t="s">
        <v>44</v>
      </c>
    </row>
    <row r="59" spans="1:40" x14ac:dyDescent="0.25">
      <c r="A59" t="s">
        <v>130</v>
      </c>
      <c r="B59">
        <v>10.010902918365337</v>
      </c>
      <c r="C59">
        <v>5.4440518083331435</v>
      </c>
      <c r="D59">
        <v>0.35227128863175283</v>
      </c>
      <c r="E59">
        <v>3.9895166801434416</v>
      </c>
      <c r="F59">
        <v>0.28867513459481287</v>
      </c>
      <c r="G59">
        <v>0.59146345627725927</v>
      </c>
      <c r="H59">
        <v>7.9805760915637814E-4</v>
      </c>
      <c r="I59">
        <v>7.3783927679061893E-3</v>
      </c>
      <c r="J59">
        <v>8.3452008322485306E-5</v>
      </c>
      <c r="K59">
        <v>2.4869774770736701E-3</v>
      </c>
      <c r="L59">
        <v>0.01</v>
      </c>
      <c r="M59">
        <v>0.02</v>
      </c>
      <c r="N59">
        <v>20.6400930759674</v>
      </c>
      <c r="O59">
        <v>31.113318806275977</v>
      </c>
      <c r="P59">
        <v>2</v>
      </c>
      <c r="Q59" t="s">
        <v>39</v>
      </c>
      <c r="R59">
        <v>6052.3965983904591</v>
      </c>
      <c r="S59">
        <v>15974.401933446943</v>
      </c>
      <c r="T5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0.5615288847285308</v>
      </c>
      <c r="U59">
        <f>Tableau1[[#This Row],[S2]]/Tableau1[[#This Row],[S1]]*SQRT(Tableau1[[#This Row],[rho1]]/Tableau1[[#This Row],[rho2]])*Tableau1[[#This Row],[J]]^(1/2)*Tableau1[[#This Row],[d2]]/Tableau1[[#This Row],[d1]]</f>
        <v>6.1770799597701282</v>
      </c>
      <c r="V59">
        <v>0.40143306352885089</v>
      </c>
      <c r="W59">
        <v>0.21785547926675253</v>
      </c>
      <c r="X59">
        <v>0.49230325813686965</v>
      </c>
      <c r="Y59">
        <v>1.1794664292299073</v>
      </c>
      <c r="Z59">
        <v>12.037668570132547</v>
      </c>
      <c r="AA59">
        <v>28.84</v>
      </c>
      <c r="AB59">
        <f>Tableau1[[#This Row],[u2]]/Tableau1[[#This Row],[u1]]</f>
        <v>1.5074214390294216</v>
      </c>
      <c r="AC59">
        <f>ABS(Tableau1[[#This Row],[u2]]-Tableau1[[#This Row],[u1]])</f>
        <v>10.473225730308577</v>
      </c>
      <c r="AD59">
        <f>(Tableau1[[#This Row],[d1]]+0.002)/Tableau1[[#This Row],[d2]]</f>
        <v>0.6</v>
      </c>
      <c r="AE59">
        <f>Tableau1[[#This Row],[S2]]*Tableau1[[#This Row],[u2]]/(Tableau1[[#This Row],[S1]]*Tableau1[[#This Row],[u1]])*(1-Tableau1[[#This Row],[ALPHA]]^3)/(1-Tableau1[[#This Row],[ALPHA]]^4)</f>
        <v>2.7819569671758848</v>
      </c>
      <c r="AF59">
        <v>1</v>
      </c>
      <c r="AG59" t="s">
        <v>40</v>
      </c>
      <c r="AH59" t="s">
        <v>47</v>
      </c>
      <c r="AI59" t="s">
        <v>42</v>
      </c>
      <c r="AJ59" t="s">
        <v>43</v>
      </c>
      <c r="AK59" t="s">
        <v>44</v>
      </c>
      <c r="AL59" t="s">
        <v>44</v>
      </c>
      <c r="AM59" t="s">
        <v>44</v>
      </c>
    </row>
    <row r="60" spans="1:40" x14ac:dyDescent="0.25">
      <c r="A60" t="s">
        <v>131</v>
      </c>
      <c r="B60">
        <v>10.010862922885369</v>
      </c>
      <c r="C60">
        <v>5.5090411380937443</v>
      </c>
      <c r="D60">
        <v>0.35040262514747106</v>
      </c>
      <c r="E60">
        <v>3.990068765047496</v>
      </c>
      <c r="F60">
        <v>0.28867513459481287</v>
      </c>
      <c r="G60">
        <v>1.4464201969658019</v>
      </c>
      <c r="H60">
        <v>7.9795554492605918E-4</v>
      </c>
      <c r="I60">
        <v>7.4216211748123154E-3</v>
      </c>
      <c r="J60">
        <v>8.3451674915683302E-5</v>
      </c>
      <c r="K60">
        <v>6.1175203895568846E-3</v>
      </c>
      <c r="L60">
        <v>0.01</v>
      </c>
      <c r="M60">
        <v>0.02</v>
      </c>
      <c r="N60">
        <v>20.63894324553247</v>
      </c>
      <c r="O60">
        <v>31.295605009771137</v>
      </c>
      <c r="P60">
        <v>2</v>
      </c>
      <c r="Q60" t="s">
        <v>39</v>
      </c>
      <c r="R60">
        <v>6051.709345568288</v>
      </c>
      <c r="S60">
        <v>16067.992498300682</v>
      </c>
      <c r="T6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1.360207517246512</v>
      </c>
      <c r="U60">
        <f>Tableau1[[#This Row],[S2]]/Tableau1[[#This Row],[S1]]*SQRT(Tableau1[[#This Row],[rho1]]/Tableau1[[#This Row],[rho2]])*Tableau1[[#This Row],[J]]^(1/2)*Tableau1[[#This Row],[d2]]/Tableau1[[#This Row],[d1]]</f>
        <v>15.195359912411169</v>
      </c>
      <c r="V60">
        <v>0.4014206372907827</v>
      </c>
      <c r="W60">
        <v>0.21783436748529042</v>
      </c>
      <c r="X60">
        <v>0.49226772061620755</v>
      </c>
      <c r="Y60">
        <v>1.1794664292299073</v>
      </c>
      <c r="Z60">
        <v>12.036799616111903</v>
      </c>
      <c r="AA60">
        <v>28.84</v>
      </c>
      <c r="AB60">
        <f>Tableau1[[#This Row],[u2]]/Tableau1[[#This Row],[u1]]</f>
        <v>1.5163375681332629</v>
      </c>
      <c r="AC60">
        <f>ABS(Tableau1[[#This Row],[u2]]-Tableau1[[#This Row],[u1]])</f>
        <v>10.656661764238667</v>
      </c>
      <c r="AD60">
        <f>(Tableau1[[#This Row],[d1]]+0.002)/Tableau1[[#This Row],[d2]]</f>
        <v>0.6</v>
      </c>
      <c r="AE60">
        <f>Tableau1[[#This Row],[S2]]*Tableau1[[#This Row],[u2]]/(Tableau1[[#This Row],[S1]]*Tableau1[[#This Row],[u1]])*(1-Tableau1[[#This Row],[ALPHA]]^3)/(1-Tableau1[[#This Row],[ALPHA]]^4)</f>
        <v>6.8434984899645883</v>
      </c>
      <c r="AF60">
        <v>1</v>
      </c>
      <c r="AG60" t="s">
        <v>40</v>
      </c>
      <c r="AH60" t="s">
        <v>47</v>
      </c>
      <c r="AI60" t="s">
        <v>42</v>
      </c>
      <c r="AJ60" t="s">
        <v>43</v>
      </c>
      <c r="AK60" t="s">
        <v>44</v>
      </c>
      <c r="AL60" t="s">
        <v>44</v>
      </c>
      <c r="AM60" t="s">
        <v>44</v>
      </c>
    </row>
    <row r="61" spans="1:40" x14ac:dyDescent="0.25">
      <c r="A61" t="s">
        <v>145</v>
      </c>
      <c r="B61">
        <v>10.058926062529482</v>
      </c>
      <c r="C61">
        <v>5.4706525689688394</v>
      </c>
      <c r="D61">
        <v>0.35025600951165603</v>
      </c>
      <c r="E61">
        <v>3.9685539135880101</v>
      </c>
      <c r="F61">
        <v>0.59587679629710499</v>
      </c>
      <c r="G61">
        <v>0</v>
      </c>
      <c r="H61">
        <v>8.0567876876806027E-4</v>
      </c>
      <c r="I61">
        <v>7.4567830467224122E-3</v>
      </c>
      <c r="J61">
        <v>8.3852334632623216E-5</v>
      </c>
      <c r="K61">
        <v>0</v>
      </c>
      <c r="L61">
        <v>0.01</v>
      </c>
      <c r="M61">
        <v>0.02</v>
      </c>
      <c r="N61">
        <v>20.780048902895796</v>
      </c>
      <c r="O61">
        <v>31.443876125849801</v>
      </c>
      <c r="P61">
        <v>2</v>
      </c>
      <c r="Q61" t="s">
        <v>39</v>
      </c>
      <c r="R61">
        <v>6106.8671299092412</v>
      </c>
      <c r="S61">
        <v>16144.118816361084</v>
      </c>
      <c r="T6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1.9856112495496975E-2</v>
      </c>
      <c r="U61">
        <f>Tableau1[[#This Row],[S2]]/Tableau1[[#This Row],[S1]]*SQRT(Tableau1[[#This Row],[rho1]]/Tableau1[[#This Row],[rho2]])*Tableau1[[#This Row],[J]]^(1/2)*Tableau1[[#This Row],[d2]]/Tableau1[[#This Row],[d1]]</f>
        <v>0</v>
      </c>
      <c r="V61">
        <v>0.40190706252939601</v>
      </c>
      <c r="W61">
        <v>0.21866059201384233</v>
      </c>
      <c r="X61">
        <v>0.49365719664214952</v>
      </c>
      <c r="Y61">
        <v>1.1794664292299073</v>
      </c>
      <c r="Z61">
        <v>12.070774715016864</v>
      </c>
      <c r="AA61">
        <v>28.84</v>
      </c>
      <c r="AB61">
        <f>Tableau1[[#This Row],[u2]]/Tableau1[[#This Row],[u1]]</f>
        <v>1.5131762332603536</v>
      </c>
      <c r="AC61">
        <f>ABS(Tableau1[[#This Row],[u2]]-Tableau1[[#This Row],[u1]])</f>
        <v>10.663827222954005</v>
      </c>
      <c r="AD61">
        <f>(Tableau1[[#This Row],[d1]]+0.002)/Tableau1[[#This Row],[d2]]</f>
        <v>0.6</v>
      </c>
      <c r="AE61">
        <f>Tableau1[[#This Row],[S2]]*Tableau1[[#This Row],[u2]]/(Tableau1[[#This Row],[S1]]*Tableau1[[#This Row],[u1]])*(1-Tableau1[[#This Row],[ALPHA]]^3)/(1-Tableau1[[#This Row],[ALPHA]]^4)</f>
        <v>0</v>
      </c>
      <c r="AF61" s="1">
        <v>1</v>
      </c>
      <c r="AG61" s="1" t="s">
        <v>40</v>
      </c>
      <c r="AH61" s="1" t="s">
        <v>41</v>
      </c>
      <c r="AI61" t="s">
        <v>42</v>
      </c>
      <c r="AJ61" t="s">
        <v>43</v>
      </c>
      <c r="AK61" t="s">
        <v>44</v>
      </c>
      <c r="AL61" t="s">
        <v>44</v>
      </c>
      <c r="AM61" t="s">
        <v>44</v>
      </c>
    </row>
    <row r="62" spans="1:40" x14ac:dyDescent="0.25">
      <c r="A62" t="s">
        <v>146</v>
      </c>
      <c r="B62">
        <v>10.051801153454802</v>
      </c>
      <c r="C62">
        <v>5.4138738109074165</v>
      </c>
      <c r="D62">
        <v>0.35180578500237714</v>
      </c>
      <c r="E62">
        <v>3.9665334588949936</v>
      </c>
      <c r="F62">
        <v>0.59587679629710499</v>
      </c>
      <c r="G62">
        <v>0.56144060295242026</v>
      </c>
      <c r="H62">
        <v>8.0547551295712789E-4</v>
      </c>
      <c r="I62">
        <v>7.4151309537887579E-3</v>
      </c>
      <c r="J62">
        <v>8.3792940592320787E-5</v>
      </c>
      <c r="K62">
        <v>2.372492280006409E-3</v>
      </c>
      <c r="L62">
        <v>0.01</v>
      </c>
      <c r="M62">
        <v>0.02</v>
      </c>
      <c r="N62">
        <v>20.769296357945596</v>
      </c>
      <c r="O62">
        <v>31.268236947080364</v>
      </c>
      <c r="P62">
        <v>2</v>
      </c>
      <c r="Q62" t="s">
        <v>39</v>
      </c>
      <c r="R62">
        <v>6105.0058269166584</v>
      </c>
      <c r="S62">
        <v>16053.941010052697</v>
      </c>
      <c r="T6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0.5437077112584654</v>
      </c>
      <c r="U62">
        <f>Tableau1[[#This Row],[S2]]/Tableau1[[#This Row],[S1]]*SQRT(Tableau1[[#This Row],[rho1]]/Tableau1[[#This Row],[rho2]])*Tableau1[[#This Row],[J]]^(1/2)*Tableau1[[#This Row],[d2]]/Tableau1[[#This Row],[d1]]</f>
        <v>2.8369974784663872</v>
      </c>
      <c r="V62">
        <v>0.40195297278593489</v>
      </c>
      <c r="W62">
        <v>0.21873855272115755</v>
      </c>
      <c r="X62">
        <v>0.49378816582802104</v>
      </c>
      <c r="Y62">
        <v>1.1794664292299073</v>
      </c>
      <c r="Z62">
        <v>12.073977138779785</v>
      </c>
      <c r="AA62">
        <v>28.84</v>
      </c>
      <c r="AB62">
        <f>Tableau1[[#This Row],[u2]]/Tableau1[[#This Row],[u1]]</f>
        <v>1.5055029505185065</v>
      </c>
      <c r="AC62">
        <f>ABS(Tableau1[[#This Row],[u2]]-Tableau1[[#This Row],[u1]])</f>
        <v>10.498940589134769</v>
      </c>
      <c r="AD62">
        <f>(Tableau1[[#This Row],[d1]]+0.002)/Tableau1[[#This Row],[d2]]</f>
        <v>0.6</v>
      </c>
      <c r="AE62">
        <f>Tableau1[[#This Row],[S2]]*Tableau1[[#This Row],[u2]]/(Tableau1[[#This Row],[S1]]*Tableau1[[#This Row],[u1]])*(1-Tableau1[[#This Row],[ALPHA]]^3)/(1-Tableau1[[#This Row],[ALPHA]]^4)</f>
        <v>1.2776918790887224</v>
      </c>
      <c r="AF62" s="1">
        <v>1</v>
      </c>
      <c r="AG62" s="1" t="s">
        <v>40</v>
      </c>
      <c r="AH62" s="1" t="s">
        <v>47</v>
      </c>
      <c r="AI62" t="s">
        <v>42</v>
      </c>
      <c r="AJ62" t="s">
        <v>43</v>
      </c>
      <c r="AK62" t="s">
        <v>44</v>
      </c>
      <c r="AL62" t="s">
        <v>44</v>
      </c>
      <c r="AM62" t="s">
        <v>44</v>
      </c>
    </row>
    <row r="63" spans="1:40" x14ac:dyDescent="0.25">
      <c r="A63" t="s">
        <v>132</v>
      </c>
      <c r="B63">
        <v>10.011314300445031</v>
      </c>
      <c r="C63">
        <v>5.4861532546121197</v>
      </c>
      <c r="D63">
        <v>0.35181832656444217</v>
      </c>
      <c r="E63">
        <v>4.002861886339355</v>
      </c>
      <c r="F63">
        <v>0.86602540378443837</v>
      </c>
      <c r="G63">
        <v>0</v>
      </c>
      <c r="H63">
        <v>7.9570787094961006E-4</v>
      </c>
      <c r="I63">
        <v>7.3914985752105717E-3</v>
      </c>
      <c r="J63">
        <v>8.3455437649591785E-5</v>
      </c>
      <c r="K63">
        <v>0</v>
      </c>
      <c r="L63">
        <v>0.01</v>
      </c>
      <c r="M63">
        <v>0.02</v>
      </c>
      <c r="N63">
        <v>20.615221690929722</v>
      </c>
      <c r="O63">
        <v>31.168583573780428</v>
      </c>
      <c r="P63">
        <v>2</v>
      </c>
      <c r="Q63" t="s">
        <v>39</v>
      </c>
      <c r="R63">
        <v>6036.6684002766015</v>
      </c>
      <c r="S63">
        <v>16002.776328810274</v>
      </c>
      <c r="T6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2.8782026366896172E-2</v>
      </c>
      <c r="U63">
        <f>Tableau1[[#This Row],[S2]]/Tableau1[[#This Row],[S1]]*SQRT(Tableau1[[#This Row],[rho1]]/Tableau1[[#This Row],[rho2]])*Tableau1[[#This Row],[J]]^(1/2)*Tableau1[[#This Row],[d2]]/Tableau1[[#This Row],[d1]]</f>
        <v>0</v>
      </c>
      <c r="V63">
        <v>0.4011335081410623</v>
      </c>
      <c r="W63">
        <v>0.21734647093523987</v>
      </c>
      <c r="X63">
        <v>0.49144595315985468</v>
      </c>
      <c r="Y63">
        <v>1.1794664292299073</v>
      </c>
      <c r="Z63">
        <v>12.016705976433926</v>
      </c>
      <c r="AA63">
        <v>28.84</v>
      </c>
      <c r="AB63">
        <f>Tableau1[[#This Row],[u2]]/Tableau1[[#This Row],[u1]]</f>
        <v>1.511920853487303</v>
      </c>
      <c r="AC63">
        <f>ABS(Tableau1[[#This Row],[u2]]-Tableau1[[#This Row],[u1]])</f>
        <v>10.553361882850705</v>
      </c>
      <c r="AD63">
        <f>(Tableau1[[#This Row],[d1]]+0.002)/Tableau1[[#This Row],[d2]]</f>
        <v>0.6</v>
      </c>
      <c r="AE63">
        <f>Tableau1[[#This Row],[S2]]*Tableau1[[#This Row],[u2]]/(Tableau1[[#This Row],[S1]]*Tableau1[[#This Row],[u1]])*(1-Tableau1[[#This Row],[ALPHA]]^3)/(1-Tableau1[[#This Row],[ALPHA]]^4)</f>
        <v>0</v>
      </c>
      <c r="AF63">
        <v>1</v>
      </c>
      <c r="AG63" t="s">
        <v>40</v>
      </c>
      <c r="AH63" t="s">
        <v>47</v>
      </c>
      <c r="AI63" t="s">
        <v>42</v>
      </c>
      <c r="AJ63" t="s">
        <v>43</v>
      </c>
      <c r="AK63" t="s">
        <v>44</v>
      </c>
      <c r="AL63" t="s">
        <v>44</v>
      </c>
      <c r="AM63" t="s">
        <v>44</v>
      </c>
    </row>
    <row r="64" spans="1:40" x14ac:dyDescent="0.25">
      <c r="A64" t="s">
        <v>133</v>
      </c>
      <c r="B64">
        <v>10.014519652482639</v>
      </c>
      <c r="C64">
        <v>5.5914361990020058</v>
      </c>
      <c r="D64">
        <v>0.3489083013545034</v>
      </c>
      <c r="E64">
        <v>4.005068008034292</v>
      </c>
      <c r="F64">
        <v>0.86602540378443837</v>
      </c>
      <c r="G64">
        <v>0.60180780953946489</v>
      </c>
      <c r="H64">
        <v>7.955701776711663E-4</v>
      </c>
      <c r="I64">
        <v>7.4618675327301027E-3</v>
      </c>
      <c r="J64">
        <v>8.3482157823296422E-5</v>
      </c>
      <c r="K64">
        <v>2.5591015481948851E-3</v>
      </c>
      <c r="L64">
        <v>0.01</v>
      </c>
      <c r="M64">
        <v>0.02</v>
      </c>
      <c r="N64">
        <v>20.617585531070802</v>
      </c>
      <c r="O64">
        <v>31.465316463752579</v>
      </c>
      <c r="P64">
        <v>2</v>
      </c>
      <c r="Q64" t="s">
        <v>39</v>
      </c>
      <c r="R64">
        <v>6035.969541471386</v>
      </c>
      <c r="S64">
        <v>16155.126853702921</v>
      </c>
      <c r="T6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0.59078559048632229</v>
      </c>
      <c r="U64">
        <f>Tableau1[[#This Row],[S2]]/Tableau1[[#This Row],[S1]]*SQRT(Tableau1[[#This Row],[rho1]]/Tableau1[[#This Row],[rho2]])*Tableau1[[#This Row],[J]]^(1/2)*Tableau1[[#This Row],[d2]]/Tableau1[[#This Row],[d1]]</f>
        <v>2.1210528128927986</v>
      </c>
      <c r="V64">
        <v>0.40108415159230132</v>
      </c>
      <c r="W64">
        <v>0.21726258898050407</v>
      </c>
      <c r="X64">
        <v>0.49130457555099538</v>
      </c>
      <c r="Y64">
        <v>1.1794664292299073</v>
      </c>
      <c r="Z64">
        <v>12.013249048675359</v>
      </c>
      <c r="AA64">
        <v>28.84</v>
      </c>
      <c r="AB64">
        <f>Tableau1[[#This Row],[u2]]/Tableau1[[#This Row],[u1]]</f>
        <v>1.5261397323335555</v>
      </c>
      <c r="AC64">
        <f>ABS(Tableau1[[#This Row],[u2]]-Tableau1[[#This Row],[u1]])</f>
        <v>10.847730932681777</v>
      </c>
      <c r="AD64">
        <f>(Tableau1[[#This Row],[d1]]+0.002)/Tableau1[[#This Row],[d2]]</f>
        <v>0.6</v>
      </c>
      <c r="AE64">
        <f>Tableau1[[#This Row],[S2]]*Tableau1[[#This Row],[u2]]/(Tableau1[[#This Row],[S1]]*Tableau1[[#This Row],[u1]])*(1-Tableau1[[#This Row],[ALPHA]]^3)/(1-Tableau1[[#This Row],[ALPHA]]^4)</f>
        <v>0.95525356463002875</v>
      </c>
      <c r="AF64">
        <v>1</v>
      </c>
      <c r="AG64" t="s">
        <v>40</v>
      </c>
      <c r="AH64" t="s">
        <v>47</v>
      </c>
      <c r="AI64" t="s">
        <v>42</v>
      </c>
      <c r="AJ64" t="s">
        <v>43</v>
      </c>
      <c r="AK64" t="s">
        <v>44</v>
      </c>
      <c r="AL64" t="s">
        <v>44</v>
      </c>
      <c r="AM64" t="s">
        <v>44</v>
      </c>
    </row>
    <row r="65" spans="1:39" x14ac:dyDescent="0.25">
      <c r="A65" t="s">
        <v>134</v>
      </c>
      <c r="B65">
        <v>10.013245510763586</v>
      </c>
      <c r="C65">
        <v>5.5184294765731741</v>
      </c>
      <c r="D65">
        <v>0.3509995943199633</v>
      </c>
      <c r="E65">
        <v>4.0049398831849761</v>
      </c>
      <c r="F65">
        <v>0.86602540378443837</v>
      </c>
      <c r="G65">
        <v>1.072851574437887</v>
      </c>
      <c r="H65">
        <v>7.9549173573403354E-4</v>
      </c>
      <c r="I65">
        <v>7.4122002840042115E-3</v>
      </c>
      <c r="J65">
        <v>8.3471536435174941E-5</v>
      </c>
      <c r="K65">
        <v>4.5317814159393311E-3</v>
      </c>
      <c r="L65">
        <v>0.01</v>
      </c>
      <c r="M65">
        <v>0.02</v>
      </c>
      <c r="N65">
        <v>20.615208256917509</v>
      </c>
      <c r="O65">
        <v>31.255878854174398</v>
      </c>
      <c r="P65">
        <v>2</v>
      </c>
      <c r="Q65" t="s">
        <v>39</v>
      </c>
      <c r="R65">
        <v>6035.3543262257936</v>
      </c>
      <c r="S65">
        <v>16047.596037841922</v>
      </c>
      <c r="T6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1.0305542728003674</v>
      </c>
      <c r="U65">
        <f>Tableau1[[#This Row],[S2]]/Tableau1[[#This Row],[S1]]*SQRT(Tableau1[[#This Row],[rho1]]/Tableau1[[#This Row],[rho2]])*Tableau1[[#This Row],[J]]^(1/2)*Tableau1[[#This Row],[d2]]/Tableau1[[#This Row],[d1]]</f>
        <v>3.7564965586986894</v>
      </c>
      <c r="V65">
        <v>0.40108701680590497</v>
      </c>
      <c r="W65">
        <v>0.21726745855361376</v>
      </c>
      <c r="X65">
        <v>0.49131278366141129</v>
      </c>
      <c r="Y65">
        <v>1.1794664292299073</v>
      </c>
      <c r="Z65">
        <v>12.013449751212141</v>
      </c>
      <c r="AA65">
        <v>28.84</v>
      </c>
      <c r="AB65">
        <f>Tableau1[[#This Row],[u2]]/Tableau1[[#This Row],[u1]]</f>
        <v>1.5161563475201068</v>
      </c>
      <c r="AC65">
        <f>ABS(Tableau1[[#This Row],[u2]]-Tableau1[[#This Row],[u1]])</f>
        <v>10.640670597256889</v>
      </c>
      <c r="AD65">
        <f>(Tableau1[[#This Row],[d1]]+0.002)/Tableau1[[#This Row],[d2]]</f>
        <v>0.6</v>
      </c>
      <c r="AE65">
        <f>Tableau1[[#This Row],[S2]]*Tableau1[[#This Row],[u2]]/(Tableau1[[#This Row],[S1]]*Tableau1[[#This Row],[u1]])*(1-Tableau1[[#This Row],[ALPHA]]^3)/(1-Tableau1[[#This Row],[ALPHA]]^4)</f>
        <v>1.6918045163256963</v>
      </c>
      <c r="AF65">
        <v>1</v>
      </c>
      <c r="AG65" t="s">
        <v>40</v>
      </c>
      <c r="AH65" t="s">
        <v>47</v>
      </c>
      <c r="AI65" t="s">
        <v>42</v>
      </c>
      <c r="AJ65" t="s">
        <v>43</v>
      </c>
      <c r="AK65" t="s">
        <v>44</v>
      </c>
      <c r="AL65" t="s">
        <v>44</v>
      </c>
      <c r="AM65" t="s">
        <v>44</v>
      </c>
    </row>
    <row r="66" spans="1:39" x14ac:dyDescent="0.25">
      <c r="A66" t="s">
        <v>135</v>
      </c>
      <c r="B66">
        <v>10.020227578838375</v>
      </c>
      <c r="C66">
        <v>9.5879990650283773</v>
      </c>
      <c r="D66">
        <v>0.35087461040359663</v>
      </c>
      <c r="E66">
        <v>6.0149842012219175</v>
      </c>
      <c r="F66">
        <v>0</v>
      </c>
      <c r="G66">
        <v>0</v>
      </c>
      <c r="H66">
        <v>5.5794270074306326E-4</v>
      </c>
      <c r="I66">
        <v>7.6583683252334596E-3</v>
      </c>
      <c r="J66">
        <v>8.352973973689875E-5</v>
      </c>
      <c r="K66">
        <v>0</v>
      </c>
      <c r="L66">
        <v>0.01</v>
      </c>
      <c r="M66">
        <v>0.02</v>
      </c>
      <c r="N66">
        <v>18.059242087098941</v>
      </c>
      <c r="O66">
        <v>32.29392399321835</v>
      </c>
      <c r="P66">
        <v>2</v>
      </c>
      <c r="Q66" t="s">
        <v>39</v>
      </c>
      <c r="R66">
        <v>4449.7692623946723</v>
      </c>
      <c r="S66">
        <v>16580.555905588466</v>
      </c>
      <c r="T6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66" t="e">
        <f>Tableau1[[#This Row],[S2]]/Tableau1[[#This Row],[S1]]*SQRT(Tableau1[[#This Row],[rho1]]/Tableau1[[#This Row],[rho2]])*Tableau1[[#This Row],[J]]^(1/2)*Tableau1[[#This Row],[d2]]/Tableau1[[#This Row],[d1]]</f>
        <v>#DIV/0!</v>
      </c>
      <c r="V66">
        <v>0.36958293480287369</v>
      </c>
      <c r="W66">
        <v>0.16286507481936408</v>
      </c>
      <c r="X66">
        <v>0.393369061036007</v>
      </c>
      <c r="Y66">
        <v>1.1794664292299073</v>
      </c>
      <c r="Z66">
        <v>9.6185558479062614</v>
      </c>
      <c r="AA66">
        <v>28.84</v>
      </c>
      <c r="AB66">
        <f>Tableau1[[#This Row],[u2]]/Tableau1[[#This Row],[u1]]</f>
        <v>1.7882214456988923</v>
      </c>
      <c r="AC66">
        <f>ABS(Tableau1[[#This Row],[u2]]-Tableau1[[#This Row],[u1]])</f>
        <v>14.234681906119409</v>
      </c>
      <c r="AD66">
        <f>(Tableau1[[#This Row],[d1]]+0.002)/Tableau1[[#This Row],[d2]]</f>
        <v>0.6</v>
      </c>
      <c r="AE66" t="e">
        <f>Tableau1[[#This Row],[S2]]*Tableau1[[#This Row],[u2]]/(Tableau1[[#This Row],[S1]]*Tableau1[[#This Row],[u1]])*(1-Tableau1[[#This Row],[ALPHA]]^3)/(1-Tableau1[[#This Row],[ALPHA]]^4)</f>
        <v>#DIV/0!</v>
      </c>
      <c r="AF66">
        <v>1</v>
      </c>
      <c r="AG66" t="s">
        <v>40</v>
      </c>
      <c r="AH66" t="s">
        <v>41</v>
      </c>
      <c r="AI66" t="s">
        <v>42</v>
      </c>
      <c r="AJ66" t="s">
        <v>43</v>
      </c>
      <c r="AK66" t="s">
        <v>44</v>
      </c>
      <c r="AL66" t="s">
        <v>44</v>
      </c>
      <c r="AM66" t="s">
        <v>44</v>
      </c>
    </row>
    <row r="67" spans="1:39" x14ac:dyDescent="0.25">
      <c r="A67" t="s">
        <v>136</v>
      </c>
      <c r="B67">
        <v>10.021318884077559</v>
      </c>
      <c r="C67">
        <v>9.6391423342029743</v>
      </c>
      <c r="D67">
        <v>0.35002428215708575</v>
      </c>
      <c r="E67">
        <v>6.0157826273223867</v>
      </c>
      <c r="F67">
        <v>0</v>
      </c>
      <c r="G67">
        <v>0.6219709466627884</v>
      </c>
      <c r="H67">
        <v>5.5794049456096883E-4</v>
      </c>
      <c r="I67">
        <v>7.6790248203277584E-3</v>
      </c>
      <c r="J67">
        <v>8.3538836979639539E-5</v>
      </c>
      <c r="K67">
        <v>2.7218133211135867E-3</v>
      </c>
      <c r="L67">
        <v>0.01</v>
      </c>
      <c r="M67">
        <v>0.02</v>
      </c>
      <c r="N67">
        <v>18.060529139171795</v>
      </c>
      <c r="O67">
        <v>32.381028615797497</v>
      </c>
      <c r="P67">
        <v>2</v>
      </c>
      <c r="Q67" t="s">
        <v>39</v>
      </c>
      <c r="R67">
        <v>4449.8352518018928</v>
      </c>
      <c r="S67">
        <v>16625.277725848271</v>
      </c>
      <c r="T6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0.59774731385610991</v>
      </c>
      <c r="U67" t="e">
        <f>Tableau1[[#This Row],[S2]]/Tableau1[[#This Row],[S1]]*SQRT(Tableau1[[#This Row],[rho1]]/Tableau1[[#This Row],[rho2]])*Tableau1[[#This Row],[J]]^(1/2)*Tableau1[[#This Row],[d2]]/Tableau1[[#This Row],[d1]]</f>
        <v>#DIV/0!</v>
      </c>
      <c r="V67">
        <v>0.36957416539919374</v>
      </c>
      <c r="W67">
        <v>0.16284968828036492</v>
      </c>
      <c r="X67">
        <v>0.39333947295228372</v>
      </c>
      <c r="Y67">
        <v>1.1794664292299071</v>
      </c>
      <c r="Z67">
        <v>9.6178323679381741</v>
      </c>
      <c r="AA67">
        <v>28.839999999999996</v>
      </c>
      <c r="AB67">
        <f>Tableau1[[#This Row],[u2]]/Tableau1[[#This Row],[u1]]</f>
        <v>1.7929169387161377</v>
      </c>
      <c r="AC67">
        <f>ABS(Tableau1[[#This Row],[u2]]-Tableau1[[#This Row],[u1]])</f>
        <v>14.320499476625702</v>
      </c>
      <c r="AD67">
        <f>(Tableau1[[#This Row],[d1]]+0.002)/Tableau1[[#This Row],[d2]]</f>
        <v>0.6</v>
      </c>
      <c r="AE67" t="e">
        <f>Tableau1[[#This Row],[S2]]*Tableau1[[#This Row],[u2]]/(Tableau1[[#This Row],[S1]]*Tableau1[[#This Row],[u1]])*(1-Tableau1[[#This Row],[ALPHA]]^3)/(1-Tableau1[[#This Row],[ALPHA]]^4)</f>
        <v>#DIV/0!</v>
      </c>
      <c r="AF67">
        <v>1</v>
      </c>
      <c r="AG67" t="s">
        <v>40</v>
      </c>
      <c r="AH67" t="s">
        <v>41</v>
      </c>
      <c r="AI67" t="s">
        <v>42</v>
      </c>
      <c r="AJ67" t="s">
        <v>43</v>
      </c>
      <c r="AK67" t="s">
        <v>44</v>
      </c>
      <c r="AL67" t="s">
        <v>44</v>
      </c>
      <c r="AM67" t="s">
        <v>44</v>
      </c>
    </row>
    <row r="68" spans="1:39" x14ac:dyDescent="0.25">
      <c r="A68" t="s">
        <v>137</v>
      </c>
      <c r="B68">
        <v>10.023147248876196</v>
      </c>
      <c r="C68">
        <v>9.6754964241528274</v>
      </c>
      <c r="D68">
        <v>0.34935962077973765</v>
      </c>
      <c r="E68">
        <v>6.0144830856269147</v>
      </c>
      <c r="F68">
        <v>0</v>
      </c>
      <c r="G68">
        <v>0.91896046900571604</v>
      </c>
      <c r="H68">
        <v>5.5814481148474615E-4</v>
      </c>
      <c r="I68">
        <v>7.6958381509780877E-3</v>
      </c>
      <c r="J68">
        <v>8.3554078433446119E-5</v>
      </c>
      <c r="K68">
        <v>4.030277228355408E-3</v>
      </c>
      <c r="L68">
        <v>0.01</v>
      </c>
      <c r="M68">
        <v>0.02</v>
      </c>
      <c r="N68">
        <v>18.064930968442535</v>
      </c>
      <c r="O68">
        <v>32.451927324117072</v>
      </c>
      <c r="P68">
        <v>2</v>
      </c>
      <c r="Q68" t="s">
        <v>39</v>
      </c>
      <c r="R68">
        <v>4451.3286789310469</v>
      </c>
      <c r="S68">
        <v>16661.679000502099</v>
      </c>
      <c r="T6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0.88329937193767938</v>
      </c>
      <c r="U68" t="e">
        <f>Tableau1[[#This Row],[S2]]/Tableau1[[#This Row],[S1]]*SQRT(Tableau1[[#This Row],[rho1]]/Tableau1[[#This Row],[rho2]])*Tableau1[[#This Row],[J]]^(1/2)*Tableau1[[#This Row],[d2]]/Tableau1[[#This Row],[d1]]</f>
        <v>#DIV/0!</v>
      </c>
      <c r="V68">
        <v>0.36958843980193068</v>
      </c>
      <c r="W68">
        <v>0.16287473365929769</v>
      </c>
      <c r="X68">
        <v>0.39338763425808992</v>
      </c>
      <c r="Y68">
        <v>1.1794664292299073</v>
      </c>
      <c r="Z68">
        <v>9.61900999540177</v>
      </c>
      <c r="AA68">
        <v>28.84</v>
      </c>
      <c r="AB68">
        <f>Tableau1[[#This Row],[u2]]/Tableau1[[#This Row],[u1]]</f>
        <v>1.7964047236497638</v>
      </c>
      <c r="AC68">
        <f>ABS(Tableau1[[#This Row],[u2]]-Tableau1[[#This Row],[u1]])</f>
        <v>14.386996355674537</v>
      </c>
      <c r="AD68">
        <f>(Tableau1[[#This Row],[d1]]+0.002)/Tableau1[[#This Row],[d2]]</f>
        <v>0.6</v>
      </c>
      <c r="AE68" t="e">
        <f>Tableau1[[#This Row],[S2]]*Tableau1[[#This Row],[u2]]/(Tableau1[[#This Row],[S1]]*Tableau1[[#This Row],[u1]])*(1-Tableau1[[#This Row],[ALPHA]]^3)/(1-Tableau1[[#This Row],[ALPHA]]^4)</f>
        <v>#DIV/0!</v>
      </c>
      <c r="AF68">
        <v>1</v>
      </c>
      <c r="AG68" t="s">
        <v>40</v>
      </c>
      <c r="AH68" t="s">
        <v>41</v>
      </c>
      <c r="AI68" t="s">
        <v>42</v>
      </c>
      <c r="AJ68" t="s">
        <v>43</v>
      </c>
      <c r="AK68" t="s">
        <v>44</v>
      </c>
      <c r="AL68" t="s">
        <v>44</v>
      </c>
      <c r="AM68" t="s">
        <v>44</v>
      </c>
    </row>
    <row r="69" spans="1:39" x14ac:dyDescent="0.25">
      <c r="A69" t="s">
        <v>138</v>
      </c>
      <c r="B69">
        <v>10.012708428603988</v>
      </c>
      <c r="C69">
        <v>9.6551021228641414</v>
      </c>
      <c r="D69">
        <v>0.34898734555633831</v>
      </c>
      <c r="E69">
        <v>5.9936066667676284</v>
      </c>
      <c r="F69">
        <v>0.28867513459481287</v>
      </c>
      <c r="G69">
        <v>0</v>
      </c>
      <c r="H69">
        <v>5.59214851978914E-4</v>
      </c>
      <c r="I69">
        <v>7.6948783874511715E-3</v>
      </c>
      <c r="J69">
        <v>8.3467059258119278E-5</v>
      </c>
      <c r="K69">
        <v>0</v>
      </c>
      <c r="L69">
        <v>0.01</v>
      </c>
      <c r="M69">
        <v>0.02</v>
      </c>
      <c r="N69">
        <v>18.063943070836704</v>
      </c>
      <c r="O69">
        <v>32.447880178684336</v>
      </c>
      <c r="P69">
        <v>2</v>
      </c>
      <c r="Q69" t="s">
        <v>39</v>
      </c>
      <c r="R69">
        <v>4457.6711218374621</v>
      </c>
      <c r="S69">
        <v>16659.601088845415</v>
      </c>
      <c r="T6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5.6125217752753687E-3</v>
      </c>
      <c r="U69">
        <f>Tableau1[[#This Row],[S2]]/Tableau1[[#This Row],[S1]]*SQRT(Tableau1[[#This Row],[rho1]]/Tableau1[[#This Row],[rho2]])*Tableau1[[#This Row],[J]]^(1/2)*Tableau1[[#This Row],[d2]]/Tableau1[[#This Row],[d1]]</f>
        <v>0</v>
      </c>
      <c r="V69">
        <v>0.36981850941748057</v>
      </c>
      <c r="W69">
        <v>0.1632783556750822</v>
      </c>
      <c r="X69">
        <v>0.39416336773795763</v>
      </c>
      <c r="Y69">
        <v>1.1794664292299073</v>
      </c>
      <c r="Z69">
        <v>9.6379780245079409</v>
      </c>
      <c r="AA69">
        <v>28.84</v>
      </c>
      <c r="AB69">
        <f>Tableau1[[#This Row],[u2]]/Tableau1[[#This Row],[u1]]</f>
        <v>1.7962789215755308</v>
      </c>
      <c r="AC69">
        <f>ABS(Tableau1[[#This Row],[u2]]-Tableau1[[#This Row],[u1]])</f>
        <v>14.383937107847633</v>
      </c>
      <c r="AD69">
        <f>(Tableau1[[#This Row],[d1]]+0.002)/Tableau1[[#This Row],[d2]]</f>
        <v>0.6</v>
      </c>
      <c r="AE69">
        <f>Tableau1[[#This Row],[S2]]*Tableau1[[#This Row],[u2]]/(Tableau1[[#This Row],[S1]]*Tableau1[[#This Row],[u1]])*(1-Tableau1[[#This Row],[ALPHA]]^3)/(1-Tableau1[[#This Row],[ALPHA]]^4)</f>
        <v>0</v>
      </c>
      <c r="AF69" s="1">
        <v>1</v>
      </c>
      <c r="AG69" s="1" t="s">
        <v>40</v>
      </c>
      <c r="AH69" s="1" t="s">
        <v>41</v>
      </c>
      <c r="AI69" t="s">
        <v>42</v>
      </c>
      <c r="AJ69" t="s">
        <v>43</v>
      </c>
      <c r="AK69" t="s">
        <v>44</v>
      </c>
      <c r="AL69" t="s">
        <v>44</v>
      </c>
      <c r="AM69" t="s">
        <v>44</v>
      </c>
    </row>
    <row r="70" spans="1:39" x14ac:dyDescent="0.25">
      <c r="A70" t="s">
        <v>138</v>
      </c>
      <c r="B70">
        <v>10.015268139322078</v>
      </c>
      <c r="C70">
        <v>9.6485278960795515</v>
      </c>
      <c r="D70">
        <v>0.34902217693584037</v>
      </c>
      <c r="E70">
        <v>5.991373086163172</v>
      </c>
      <c r="F70">
        <v>0.28867513459481287</v>
      </c>
      <c r="G70">
        <v>0</v>
      </c>
      <c r="H70">
        <v>5.595352169803381E-4</v>
      </c>
      <c r="I70">
        <v>7.6958525371551506E-3</v>
      </c>
      <c r="J70">
        <v>8.3488397293448463E-5</v>
      </c>
      <c r="K70">
        <v>0</v>
      </c>
      <c r="L70">
        <v>0.01</v>
      </c>
      <c r="M70">
        <v>0.02</v>
      </c>
      <c r="N70">
        <v>18.070476131947512</v>
      </c>
      <c r="O70">
        <v>32.451987987967243</v>
      </c>
      <c r="P70">
        <v>2</v>
      </c>
      <c r="Q70" t="s">
        <v>39</v>
      </c>
      <c r="R70">
        <v>4459.9901606259446</v>
      </c>
      <c r="S70">
        <v>16661.710146929501</v>
      </c>
      <c r="T7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5.6161971840838678E-3</v>
      </c>
      <c r="U70">
        <f>Tableau1[[#This Row],[S2]]/Tableau1[[#This Row],[S1]]*SQRT(Tableau1[[#This Row],[rho1]]/Tableau1[[#This Row],[rho2]])*Tableau1[[#This Row],[J]]^(1/2)*Tableau1[[#This Row],[d2]]/Tableau1[[#This Row],[d1]]</f>
        <v>0</v>
      </c>
      <c r="V70">
        <v>0.36984320966414519</v>
      </c>
      <c r="W70">
        <v>0.16332168286099669</v>
      </c>
      <c r="X70">
        <v>0.39424659302242532</v>
      </c>
      <c r="Y70">
        <v>1.1794664292299073</v>
      </c>
      <c r="Z70">
        <v>9.6400130270688997</v>
      </c>
      <c r="AA70">
        <v>28.84</v>
      </c>
      <c r="AB70">
        <f>Tableau1[[#This Row],[u2]]/Tableau1[[#This Row],[u1]]</f>
        <v>1.7958568302798665</v>
      </c>
      <c r="AC70">
        <f>ABS(Tableau1[[#This Row],[u2]]-Tableau1[[#This Row],[u1]])</f>
        <v>14.381511856019731</v>
      </c>
      <c r="AD70">
        <f>(Tableau1[[#This Row],[d1]]+0.002)/Tableau1[[#This Row],[d2]]</f>
        <v>0.6</v>
      </c>
      <c r="AE70">
        <f>Tableau1[[#This Row],[S2]]*Tableau1[[#This Row],[u2]]/(Tableau1[[#This Row],[S1]]*Tableau1[[#This Row],[u1]])*(1-Tableau1[[#This Row],[ALPHA]]^3)/(1-Tableau1[[#This Row],[ALPHA]]^4)</f>
        <v>0</v>
      </c>
      <c r="AF70" s="1">
        <v>1</v>
      </c>
      <c r="AG70" s="1" t="s">
        <v>40</v>
      </c>
      <c r="AH70" s="1" t="s">
        <v>41</v>
      </c>
      <c r="AI70" t="s">
        <v>42</v>
      </c>
      <c r="AJ70" t="s">
        <v>43</v>
      </c>
      <c r="AK70" t="s">
        <v>44</v>
      </c>
      <c r="AL70" t="s">
        <v>44</v>
      </c>
      <c r="AM70" t="s">
        <v>44</v>
      </c>
    </row>
    <row r="71" spans="1:39" x14ac:dyDescent="0.25">
      <c r="A71" t="s">
        <v>139</v>
      </c>
      <c r="B71">
        <v>10.009823040406143</v>
      </c>
      <c r="C71">
        <v>9.5076995663319011</v>
      </c>
      <c r="D71">
        <v>0.35168119121872249</v>
      </c>
      <c r="E71">
        <v>5.9981240511414287</v>
      </c>
      <c r="F71">
        <v>0.28867513459481287</v>
      </c>
      <c r="G71">
        <v>0.57180926485020867</v>
      </c>
      <c r="H71">
        <v>5.5869550353502824E-4</v>
      </c>
      <c r="I71">
        <v>7.6304509210586551E-3</v>
      </c>
      <c r="J71">
        <v>8.3443006338830808E-5</v>
      </c>
      <c r="K71">
        <v>2.4864719057083135E-3</v>
      </c>
      <c r="L71">
        <v>0.01</v>
      </c>
      <c r="M71">
        <v>0.02</v>
      </c>
      <c r="N71">
        <v>18.054870772708878</v>
      </c>
      <c r="O71">
        <v>32.176201458832203</v>
      </c>
      <c r="P71">
        <v>2</v>
      </c>
      <c r="Q71" t="s">
        <v>39</v>
      </c>
      <c r="R71">
        <v>4454.0051206110093</v>
      </c>
      <c r="S71">
        <v>16520.114038469837</v>
      </c>
      <c r="T7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0.5549396289095434</v>
      </c>
      <c r="U71">
        <f>Tableau1[[#This Row],[S2]]/Tableau1[[#This Row],[S1]]*SQRT(Tableau1[[#This Row],[rho1]]/Tableau1[[#This Row],[rho2]])*Tableau1[[#This Row],[J]]^(1/2)*Tableau1[[#This Row],[d2]]/Tableau1[[#This Row],[d1]]</f>
        <v>7.0601218182632595</v>
      </c>
      <c r="V71">
        <v>0.3697686038451316</v>
      </c>
      <c r="W71">
        <v>0.16319081200596211</v>
      </c>
      <c r="X71">
        <v>0.3939951814231642</v>
      </c>
      <c r="Y71">
        <v>1.1794664292299071</v>
      </c>
      <c r="Z71">
        <v>9.6338655773891126</v>
      </c>
      <c r="AA71">
        <v>28.839999999999996</v>
      </c>
      <c r="AB71">
        <f>Tableau1[[#This Row],[u2]]/Tableau1[[#This Row],[u1]]</f>
        <v>1.7821341323289139</v>
      </c>
      <c r="AC71">
        <f>ABS(Tableau1[[#This Row],[u2]]-Tableau1[[#This Row],[u1]])</f>
        <v>14.121330686123326</v>
      </c>
      <c r="AD71">
        <f>(Tableau1[[#This Row],[d1]]+0.002)/Tableau1[[#This Row],[d2]]</f>
        <v>0.6</v>
      </c>
      <c r="AE71">
        <f>Tableau1[[#This Row],[S2]]*Tableau1[[#This Row],[u2]]/(Tableau1[[#This Row],[S1]]*Tableau1[[#This Row],[u1]])*(1-Tableau1[[#This Row],[ALPHA]]^3)/(1-Tableau1[[#This Row],[ALPHA]]^4)</f>
        <v>3.1796504512398869</v>
      </c>
      <c r="AF71" s="1">
        <v>1</v>
      </c>
      <c r="AG71" s="1" t="s">
        <v>40</v>
      </c>
      <c r="AH71" s="1" t="s">
        <v>41</v>
      </c>
      <c r="AI71" t="s">
        <v>42</v>
      </c>
      <c r="AJ71" t="s">
        <v>43</v>
      </c>
      <c r="AK71" t="s">
        <v>44</v>
      </c>
      <c r="AL71" t="s">
        <v>44</v>
      </c>
      <c r="AM71" t="s">
        <v>44</v>
      </c>
    </row>
    <row r="72" spans="1:39" x14ac:dyDescent="0.25">
      <c r="A72" t="s">
        <v>147</v>
      </c>
      <c r="B72">
        <v>10.052332521974401</v>
      </c>
      <c r="C72">
        <v>9.4809057324352768</v>
      </c>
      <c r="D72">
        <v>0.352008958020951</v>
      </c>
      <c r="E72">
        <v>5.9941118745352142</v>
      </c>
      <c r="F72">
        <v>0.59587679629710499</v>
      </c>
      <c r="G72">
        <v>0</v>
      </c>
      <c r="H72">
        <v>5.6138762110876641E-4</v>
      </c>
      <c r="I72">
        <v>7.6549567461013795E-3</v>
      </c>
      <c r="J72">
        <v>8.3797370139833291E-5</v>
      </c>
      <c r="K72">
        <v>0</v>
      </c>
      <c r="L72">
        <v>0.01</v>
      </c>
      <c r="M72">
        <v>0.02</v>
      </c>
      <c r="N72">
        <v>18.134994388165161</v>
      </c>
      <c r="O72">
        <v>32.279537994463858</v>
      </c>
      <c r="P72">
        <v>2</v>
      </c>
      <c r="Q72" t="s">
        <v>39</v>
      </c>
      <c r="R72">
        <v>4475.0441798140673</v>
      </c>
      <c r="S72">
        <v>16573.169752804533</v>
      </c>
      <c r="T7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1.1789679830948283E-2</v>
      </c>
      <c r="U72">
        <f>Tableau1[[#This Row],[S2]]/Tableau1[[#This Row],[S1]]*SQRT(Tableau1[[#This Row],[rho1]]/Tableau1[[#This Row],[rho2]])*Tableau1[[#This Row],[J]]^(1/2)*Tableau1[[#This Row],[d2]]/Tableau1[[#This Row],[d1]]</f>
        <v>0</v>
      </c>
      <c r="V72">
        <v>0.36981292481749384</v>
      </c>
      <c r="W72">
        <v>0.16326855946780242</v>
      </c>
      <c r="X72">
        <v>0.39414454938400506</v>
      </c>
      <c r="Y72">
        <v>1.1794664292299073</v>
      </c>
      <c r="Z72">
        <v>9.6375178831130341</v>
      </c>
      <c r="AA72">
        <v>28.84</v>
      </c>
      <c r="AB72">
        <f>Tableau1[[#This Row],[u2]]/Tableau1[[#This Row],[u1]]</f>
        <v>1.7799585323020215</v>
      </c>
      <c r="AC72">
        <f>ABS(Tableau1[[#This Row],[u2]]-Tableau1[[#This Row],[u1]])</f>
        <v>14.144543606298697</v>
      </c>
      <c r="AD72">
        <f>(Tableau1[[#This Row],[d1]]+0.002)/Tableau1[[#This Row],[d2]]</f>
        <v>0.6</v>
      </c>
      <c r="AE72">
        <f>Tableau1[[#This Row],[S2]]*Tableau1[[#This Row],[u2]]/(Tableau1[[#This Row],[S1]]*Tableau1[[#This Row],[u1]])*(1-Tableau1[[#This Row],[ALPHA]]^3)/(1-Tableau1[[#This Row],[ALPHA]]^4)</f>
        <v>0</v>
      </c>
      <c r="AF72" s="1">
        <v>1</v>
      </c>
      <c r="AG72" s="1" t="s">
        <v>40</v>
      </c>
      <c r="AH72" s="1" t="s">
        <v>41</v>
      </c>
      <c r="AI72" t="s">
        <v>42</v>
      </c>
      <c r="AJ72" t="s">
        <v>43</v>
      </c>
      <c r="AK72" t="s">
        <v>44</v>
      </c>
      <c r="AL72" t="s">
        <v>44</v>
      </c>
      <c r="AM72" t="s">
        <v>44</v>
      </c>
    </row>
    <row r="73" spans="1:39" x14ac:dyDescent="0.25">
      <c r="A73" t="s">
        <v>148</v>
      </c>
      <c r="B73">
        <v>10.056772020251088</v>
      </c>
      <c r="C73">
        <v>9.6609548022547429</v>
      </c>
      <c r="D73">
        <v>0.34925348761443903</v>
      </c>
      <c r="E73">
        <v>6.0042131820626539</v>
      </c>
      <c r="F73">
        <v>0.59587679629710499</v>
      </c>
      <c r="G73">
        <v>0.59965799745613835</v>
      </c>
      <c r="H73">
        <v>5.6083171325198007E-4</v>
      </c>
      <c r="I73">
        <v>7.7233321905136095E-3</v>
      </c>
      <c r="J73">
        <v>8.3834378294857351E-5</v>
      </c>
      <c r="K73">
        <v>2.6393106508255004E-3</v>
      </c>
      <c r="L73">
        <v>0.01</v>
      </c>
      <c r="M73">
        <v>0.02</v>
      </c>
      <c r="N73">
        <v>18.134326029790973</v>
      </c>
      <c r="O73">
        <v>32.567864608055373</v>
      </c>
      <c r="P73">
        <v>2</v>
      </c>
      <c r="Q73" t="s">
        <v>39</v>
      </c>
      <c r="R73">
        <v>4471.6763896608118</v>
      </c>
      <c r="S73">
        <v>16721.204272757175</v>
      </c>
      <c r="T7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0.58793255520743948</v>
      </c>
      <c r="U73">
        <f>Tableau1[[#This Row],[S2]]/Tableau1[[#This Row],[S1]]*SQRT(Tableau1[[#This Row],[rho1]]/Tableau1[[#This Row],[rho2]])*Tableau1[[#This Row],[J]]^(1/2)*Tableau1[[#This Row],[d2]]/Tableau1[[#This Row],[d1]]</f>
        <v>3.614639715735541</v>
      </c>
      <c r="V73">
        <v>0.36970144084096734</v>
      </c>
      <c r="W73">
        <v>0.16307298855798688</v>
      </c>
      <c r="X73">
        <v>0.39376876432072361</v>
      </c>
      <c r="Y73">
        <v>1.1794664292299073</v>
      </c>
      <c r="Z73">
        <v>9.628329286509981</v>
      </c>
      <c r="AA73">
        <v>28.84</v>
      </c>
      <c r="AB73">
        <f>Tableau1[[#This Row],[u2]]/Tableau1[[#This Row],[u1]]</f>
        <v>1.7959236287333238</v>
      </c>
      <c r="AC73">
        <f>ABS(Tableau1[[#This Row],[u2]]-Tableau1[[#This Row],[u1]])</f>
        <v>14.4335385782644</v>
      </c>
      <c r="AD73">
        <f>(Tableau1[[#This Row],[d1]]+0.002)/Tableau1[[#This Row],[d2]]</f>
        <v>0.6</v>
      </c>
      <c r="AE73">
        <f>Tableau1[[#This Row],[S2]]*Tableau1[[#This Row],[u2]]/(Tableau1[[#This Row],[S1]]*Tableau1[[#This Row],[u1]])*(1-Tableau1[[#This Row],[ALPHA]]^3)/(1-Tableau1[[#This Row],[ALPHA]]^4)</f>
        <v>1.6279167837411901</v>
      </c>
      <c r="AF73" s="1">
        <v>1</v>
      </c>
      <c r="AG73" s="1" t="s">
        <v>40</v>
      </c>
      <c r="AH73" s="1" t="s">
        <v>47</v>
      </c>
      <c r="AI73" t="s">
        <v>42</v>
      </c>
      <c r="AJ73" t="s">
        <v>43</v>
      </c>
      <c r="AK73" t="s">
        <v>44</v>
      </c>
      <c r="AL73" t="s">
        <v>44</v>
      </c>
      <c r="AM73" t="s">
        <v>44</v>
      </c>
    </row>
    <row r="74" spans="1:39" x14ac:dyDescent="0.25">
      <c r="A74" t="s">
        <v>140</v>
      </c>
      <c r="B74">
        <v>10.009068839926707</v>
      </c>
      <c r="C74">
        <v>9.5443404621306325</v>
      </c>
      <c r="D74">
        <v>0.35102305710529175</v>
      </c>
      <c r="E74">
        <v>5.9974905686522328</v>
      </c>
      <c r="F74">
        <v>0.86602540378443837</v>
      </c>
      <c r="G74">
        <v>0</v>
      </c>
      <c r="H74">
        <v>5.5870360261239609E-4</v>
      </c>
      <c r="I74">
        <v>7.6450220632553094E-3</v>
      </c>
      <c r="J74">
        <v>8.3436719239135608E-5</v>
      </c>
      <c r="K74">
        <v>0</v>
      </c>
      <c r="L74">
        <v>0.01</v>
      </c>
      <c r="M74">
        <v>0.02</v>
      </c>
      <c r="N74">
        <v>18.054052262501372</v>
      </c>
      <c r="O74">
        <v>32.237645272789635</v>
      </c>
      <c r="P74">
        <v>2</v>
      </c>
      <c r="Q74" t="s">
        <v>39</v>
      </c>
      <c r="R74">
        <v>4454.003237784872</v>
      </c>
      <c r="S74">
        <v>16551.660919938557</v>
      </c>
      <c r="T7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1.7025281801067629E-2</v>
      </c>
      <c r="U74">
        <f>Tableau1[[#This Row],[S2]]/Tableau1[[#This Row],[S1]]*SQRT(Tableau1[[#This Row],[rho1]]/Tableau1[[#This Row],[rho2]])*Tableau1[[#This Row],[J]]^(1/2)*Tableau1[[#This Row],[d2]]/Tableau1[[#This Row],[d1]]</f>
        <v>0</v>
      </c>
      <c r="V74">
        <v>0.36977559815464273</v>
      </c>
      <c r="W74">
        <v>0.16320308159588481</v>
      </c>
      <c r="X74">
        <v>0.39401875561732952</v>
      </c>
      <c r="Y74">
        <v>1.1794664292299073</v>
      </c>
      <c r="Z74">
        <v>9.6344420073263102</v>
      </c>
      <c r="AA74">
        <v>28.84</v>
      </c>
      <c r="AB74">
        <f>Tableau1[[#This Row],[u2]]/Tableau1[[#This Row],[u1]]</f>
        <v>1.7856182536785865</v>
      </c>
      <c r="AC74">
        <f>ABS(Tableau1[[#This Row],[u2]]-Tableau1[[#This Row],[u1]])</f>
        <v>14.183593010288263</v>
      </c>
      <c r="AD74">
        <f>(Tableau1[[#This Row],[d1]]+0.002)/Tableau1[[#This Row],[d2]]</f>
        <v>0.6</v>
      </c>
      <c r="AE74">
        <f>Tableau1[[#This Row],[S2]]*Tableau1[[#This Row],[u2]]/(Tableau1[[#This Row],[S1]]*Tableau1[[#This Row],[u1]])*(1-Tableau1[[#This Row],[ALPHA]]^3)/(1-Tableau1[[#This Row],[ALPHA]]^4)</f>
        <v>0</v>
      </c>
      <c r="AF74" s="1">
        <v>1</v>
      </c>
      <c r="AG74" s="1" t="s">
        <v>40</v>
      </c>
      <c r="AH74" s="1" t="s">
        <v>41</v>
      </c>
      <c r="AI74" t="s">
        <v>42</v>
      </c>
      <c r="AJ74" t="s">
        <v>43</v>
      </c>
      <c r="AK74" t="s">
        <v>44</v>
      </c>
      <c r="AL74" t="s">
        <v>44</v>
      </c>
      <c r="AM74" t="s">
        <v>44</v>
      </c>
    </row>
    <row r="75" spans="1:39" x14ac:dyDescent="0.25">
      <c r="A75" t="s">
        <v>141</v>
      </c>
      <c r="B75">
        <v>10.013171233443645</v>
      </c>
      <c r="C75">
        <v>9.6374399266872359</v>
      </c>
      <c r="D75">
        <v>0.34959782762531205</v>
      </c>
      <c r="E75">
        <v>6.0025703581598853</v>
      </c>
      <c r="F75">
        <v>0.86602540378443837</v>
      </c>
      <c r="G75">
        <v>0.56228927365309711</v>
      </c>
      <c r="H75">
        <v>5.585302286410371E-4</v>
      </c>
      <c r="I75">
        <v>7.6816759872436521E-3</v>
      </c>
      <c r="J75">
        <v>8.3470917251114078E-5</v>
      </c>
      <c r="K75">
        <v>2.4614892816543577E-3</v>
      </c>
      <c r="L75">
        <v>0.01</v>
      </c>
      <c r="M75">
        <v>0.02</v>
      </c>
      <c r="N75">
        <v>18.057108447585556</v>
      </c>
      <c r="O75">
        <v>32.392208096757315</v>
      </c>
      <c r="P75">
        <v>2</v>
      </c>
      <c r="Q75" t="s">
        <v>39</v>
      </c>
      <c r="R75">
        <v>4453.1537373707642</v>
      </c>
      <c r="S75">
        <v>16631.017567469527</v>
      </c>
      <c r="T7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0.55725354031737617</v>
      </c>
      <c r="U75">
        <f>Tableau1[[#This Row],[S2]]/Tableau1[[#This Row],[S1]]*SQRT(Tableau1[[#This Row],[rho1]]/Tableau1[[#This Row],[rho2]])*Tableau1[[#This Row],[J]]^(1/2)*Tableau1[[#This Row],[d2]]/Tableau1[[#This Row],[d1]]</f>
        <v>2.3294399014767846</v>
      </c>
      <c r="V75">
        <v>0.36971954914600086</v>
      </c>
      <c r="W75">
        <v>0.16310475658714699</v>
      </c>
      <c r="X75">
        <v>0.39382981837871633</v>
      </c>
      <c r="Y75">
        <v>1.1794664292299073</v>
      </c>
      <c r="Z75">
        <v>9.6298221641272441</v>
      </c>
      <c r="AA75">
        <v>28.84</v>
      </c>
      <c r="AB75">
        <f>Tableau1[[#This Row],[u2]]/Tableau1[[#This Row],[u1]]</f>
        <v>1.7938757022356218</v>
      </c>
      <c r="AC75">
        <f>ABS(Tableau1[[#This Row],[u2]]-Tableau1[[#This Row],[u1]])</f>
        <v>14.335099649171759</v>
      </c>
      <c r="AD75">
        <f>(Tableau1[[#This Row],[d1]]+0.002)/Tableau1[[#This Row],[d2]]</f>
        <v>0.6</v>
      </c>
      <c r="AE75">
        <f>Tableau1[[#This Row],[S2]]*Tableau1[[#This Row],[u2]]/(Tableau1[[#This Row],[S1]]*Tableau1[[#This Row],[u1]])*(1-Tableau1[[#This Row],[ALPHA]]^3)/(1-Tableau1[[#This Row],[ALPHA]]^4)</f>
        <v>1.0491043673930371</v>
      </c>
      <c r="AF75" s="1">
        <v>1</v>
      </c>
      <c r="AG75" s="1" t="s">
        <v>40</v>
      </c>
      <c r="AH75" s="1" t="s">
        <v>47</v>
      </c>
      <c r="AI75" t="s">
        <v>42</v>
      </c>
      <c r="AJ75" t="s">
        <v>43</v>
      </c>
      <c r="AK75" t="s">
        <v>44</v>
      </c>
      <c r="AL75" t="s">
        <v>44</v>
      </c>
      <c r="AM75" t="s">
        <v>44</v>
      </c>
    </row>
    <row r="76" spans="1:39" x14ac:dyDescent="0.25">
      <c r="A76" t="s">
        <v>188</v>
      </c>
      <c r="B76">
        <v>10.008737448806956</v>
      </c>
      <c r="C76">
        <v>1.783881799600584</v>
      </c>
      <c r="D76">
        <v>0.34911699104856503</v>
      </c>
      <c r="E76">
        <v>2.0191222699813003</v>
      </c>
      <c r="F76">
        <v>0</v>
      </c>
      <c r="G76">
        <v>0</v>
      </c>
      <c r="H76">
        <v>1.495094022376573E-3</v>
      </c>
      <c r="I76">
        <v>6.7526927137374895E-3</v>
      </c>
      <c r="J76">
        <v>8.3433956725633177E-5</v>
      </c>
      <c r="K76">
        <v>0</v>
      </c>
      <c r="L76">
        <v>0.01</v>
      </c>
      <c r="M76">
        <v>0.02</v>
      </c>
      <c r="N76">
        <v>28.162032717272727</v>
      </c>
      <c r="O76">
        <v>28.4748573045878</v>
      </c>
      <c r="P76">
        <v>4</v>
      </c>
      <c r="Q76" t="s">
        <v>39</v>
      </c>
      <c r="R76">
        <v>10769.416390663751</v>
      </c>
      <c r="S76">
        <v>14619.745916956954</v>
      </c>
      <c r="T7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76" t="e">
        <f>Tableau1[[#This Row],[S2]]/Tableau1[[#This Row],[S1]]*SQRT(Tableau1[[#This Row],[rho1]]/Tableau1[[#This Row],[rho2]])*Tableau1[[#This Row],[J]]^(1/2)*Tableau1[[#This Row],[d2]]/Tableau1[[#This Row],[d1]]</f>
        <v>#DIV/0!</v>
      </c>
      <c r="V76">
        <v>0.47787896043810307</v>
      </c>
      <c r="W76">
        <v>0.3429382261399766</v>
      </c>
      <c r="X76">
        <v>0.67595008197666828</v>
      </c>
      <c r="Y76">
        <v>1.1794664292299073</v>
      </c>
      <c r="Z76">
        <v>16.528151951671333</v>
      </c>
      <c r="AA76">
        <v>28.84</v>
      </c>
      <c r="AB76">
        <f>Tableau1[[#This Row],[u2]]/Tableau1[[#This Row],[u1]]</f>
        <v>1.0111080258465579</v>
      </c>
      <c r="AC76">
        <f>ABS(Tableau1[[#This Row],[u2]]-Tableau1[[#This Row],[u1]])</f>
        <v>0.3128245873150739</v>
      </c>
      <c r="AD76">
        <f>(Tableau1[[#This Row],[d1]]+0.002)/Tableau1[[#This Row],[d2]]</f>
        <v>0.6</v>
      </c>
      <c r="AE76" t="e">
        <f>Tableau1[[#This Row],[S2]]*Tableau1[[#This Row],[u2]]/(Tableau1[[#This Row],[S1]]*Tableau1[[#This Row],[u1]])*(1-Tableau1[[#This Row],[ALPHA]]^3)/(1-Tableau1[[#This Row],[ALPHA]]^4)</f>
        <v>#DIV/0!</v>
      </c>
      <c r="AF76" s="1">
        <v>1</v>
      </c>
      <c r="AG76" s="1" t="s">
        <v>40</v>
      </c>
      <c r="AH76" t="s">
        <v>41</v>
      </c>
      <c r="AI76" t="s">
        <v>42</v>
      </c>
      <c r="AJ76" t="s">
        <v>42</v>
      </c>
      <c r="AK76" t="s">
        <v>44</v>
      </c>
      <c r="AL76">
        <v>15.15</v>
      </c>
      <c r="AM76">
        <v>2.1912292409092298</v>
      </c>
    </row>
    <row r="77" spans="1:39" x14ac:dyDescent="0.25">
      <c r="A77" t="s">
        <v>199</v>
      </c>
      <c r="B77">
        <v>10.030586408150638</v>
      </c>
      <c r="C77">
        <v>1.7654441540063697</v>
      </c>
      <c r="D77">
        <v>0.3494330158738147</v>
      </c>
      <c r="E77">
        <v>2.010451052276963</v>
      </c>
      <c r="F77">
        <v>0</v>
      </c>
      <c r="G77">
        <f>0.199042132601243*0.8</f>
        <v>0.15923370608099441</v>
      </c>
      <c r="H77">
        <v>1.5044596766361274E-3</v>
      </c>
      <c r="I77">
        <v>6.7539319801330558E-3</v>
      </c>
      <c r="J77">
        <v>8.3616092098621529E-5</v>
      </c>
      <c r="K77">
        <f>1.23218827459668/1000</f>
        <v>1.23218827459668E-3</v>
      </c>
      <c r="L77">
        <v>0.01</v>
      </c>
      <c r="M77">
        <v>0.02</v>
      </c>
      <c r="N77">
        <v>28.289380205439741</v>
      </c>
      <c r="O77">
        <v>28.480083061966685</v>
      </c>
      <c r="P77">
        <v>4</v>
      </c>
      <c r="Q77" t="s">
        <v>39</v>
      </c>
      <c r="R77">
        <v>10834.501589473066</v>
      </c>
      <c r="S77">
        <v>14622.42895920316</v>
      </c>
      <c r="T7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0.13038460060480492</v>
      </c>
      <c r="U77" t="e">
        <f>Tableau1[[#This Row],[S2]]/Tableau1[[#This Row],[S1]]*SQRT(Tableau1[[#This Row],[rho1]]/Tableau1[[#This Row],[rho2]])*Tableau1[[#This Row],[J]]^(1/2)*Tableau1[[#This Row],[d2]]/Tableau1[[#This Row],[d1]]</f>
        <v>#DIV/0!</v>
      </c>
      <c r="V77">
        <v>0.47846063792145738</v>
      </c>
      <c r="W77">
        <v>0.34385458209721542</v>
      </c>
      <c r="X77">
        <v>0.6771224890194858</v>
      </c>
      <c r="Y77">
        <v>1.1794664292299073</v>
      </c>
      <c r="Z77">
        <v>16.556819337428919</v>
      </c>
      <c r="AA77">
        <v>28.84</v>
      </c>
      <c r="AB77">
        <f>Tableau1[[#This Row],[u2]]/Tableau1[[#This Row],[u1]]</f>
        <v>1.0067411465059342</v>
      </c>
      <c r="AC77">
        <f>ABS(Tableau1[[#This Row],[u2]]-Tableau1[[#This Row],[u1]])</f>
        <v>0.19070285652694352</v>
      </c>
      <c r="AD77">
        <f>(Tableau1[[#This Row],[d1]]+0.002)/Tableau1[[#This Row],[d2]]</f>
        <v>0.6</v>
      </c>
      <c r="AE77" t="e">
        <f>Tableau1[[#This Row],[S2]]*Tableau1[[#This Row],[u2]]/(Tableau1[[#This Row],[S1]]*Tableau1[[#This Row],[u1]])*(1-Tableau1[[#This Row],[ALPHA]]^3)/(1-Tableau1[[#This Row],[ALPHA]]^4)</f>
        <v>#DIV/0!</v>
      </c>
      <c r="AF77" s="1">
        <v>1</v>
      </c>
      <c r="AG77" s="1" t="s">
        <v>40</v>
      </c>
      <c r="AH77" t="s">
        <v>41</v>
      </c>
      <c r="AI77" t="s">
        <v>42</v>
      </c>
      <c r="AJ77" t="s">
        <v>42</v>
      </c>
      <c r="AK77" t="s">
        <v>44</v>
      </c>
      <c r="AL77">
        <v>14.549999999999999</v>
      </c>
      <c r="AM77">
        <v>2.1023940838328832</v>
      </c>
    </row>
    <row r="78" spans="1:39" x14ac:dyDescent="0.25">
      <c r="A78" t="s">
        <v>198</v>
      </c>
      <c r="B78">
        <v>10.027083946833253</v>
      </c>
      <c r="C78">
        <v>1.7508415502286094</v>
      </c>
      <c r="D78">
        <v>0.35054347014374881</v>
      </c>
      <c r="E78">
        <v>2.0097955596060806</v>
      </c>
      <c r="F78">
        <v>0</v>
      </c>
      <c r="G78">
        <f>0.399951068072032*0.8</f>
        <v>0.31996085445762562</v>
      </c>
      <c r="H78">
        <v>1.5043975970357498E-3</v>
      </c>
      <c r="I78">
        <v>6.7252233362197888E-3</v>
      </c>
      <c r="J78">
        <v>8.3586895188673334E-5</v>
      </c>
      <c r="K78">
        <f>2.45390133134588/1000</f>
        <v>2.4539013313458801E-3</v>
      </c>
      <c r="L78">
        <v>0.01</v>
      </c>
      <c r="M78">
        <v>0.02</v>
      </c>
      <c r="N78">
        <v>28.284502922193038</v>
      </c>
      <c r="O78">
        <v>28.35902401582122</v>
      </c>
      <c r="P78">
        <v>4</v>
      </c>
      <c r="Q78" t="s">
        <v>39</v>
      </c>
      <c r="R78">
        <v>10833.874921567151</v>
      </c>
      <c r="S78">
        <v>14560.27403857742</v>
      </c>
      <c r="T7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0.26159678206099285</v>
      </c>
      <c r="U78" t="e">
        <f>Tableau1[[#This Row],[S2]]/Tableau1[[#This Row],[S1]]*SQRT(Tableau1[[#This Row],[rho1]]/Tableau1[[#This Row],[rho2]])*Tableau1[[#This Row],[J]]^(1/2)*Tableau1[[#This Row],[d2]]/Tableau1[[#This Row],[d1]]</f>
        <v>#DIV/0!</v>
      </c>
      <c r="V78">
        <v>0.4785047603992994</v>
      </c>
      <c r="W78">
        <v>0.34392407022281585</v>
      </c>
      <c r="X78">
        <v>0.67721130430315379</v>
      </c>
      <c r="Y78">
        <v>1.1794664292299071</v>
      </c>
      <c r="Z78">
        <v>16.558991025166279</v>
      </c>
      <c r="AA78">
        <v>28.839999999999996</v>
      </c>
      <c r="AB78">
        <f>Tableau1[[#This Row],[u2]]/Tableau1[[#This Row],[u1]]</f>
        <v>1.0026346969516551</v>
      </c>
      <c r="AC78">
        <f>ABS(Tableau1[[#This Row],[u2]]-Tableau1[[#This Row],[u1]])</f>
        <v>7.452109362818149E-2</v>
      </c>
      <c r="AD78">
        <f>(Tableau1[[#This Row],[d1]]+0.002)/Tableau1[[#This Row],[d2]]</f>
        <v>0.6</v>
      </c>
      <c r="AE78" t="e">
        <f>Tableau1[[#This Row],[S2]]*Tableau1[[#This Row],[u2]]/(Tableau1[[#This Row],[S1]]*Tableau1[[#This Row],[u1]])*(1-Tableau1[[#This Row],[ALPHA]]^3)/(1-Tableau1[[#This Row],[ALPHA]]^4)</f>
        <v>#DIV/0!</v>
      </c>
      <c r="AF78" s="1">
        <v>1</v>
      </c>
      <c r="AG78" s="1" t="s">
        <v>40</v>
      </c>
      <c r="AH78" t="s">
        <v>41</v>
      </c>
      <c r="AI78" t="s">
        <v>42</v>
      </c>
      <c r="AJ78" t="s">
        <v>42</v>
      </c>
      <c r="AK78" t="s">
        <v>44</v>
      </c>
      <c r="AL78">
        <v>16.200000000000003</v>
      </c>
      <c r="AM78">
        <v>2.3328075314294732</v>
      </c>
    </row>
    <row r="79" spans="1:39" x14ac:dyDescent="0.25">
      <c r="A79" t="s">
        <v>197</v>
      </c>
      <c r="B79">
        <v>10.018896300719367</v>
      </c>
      <c r="C79">
        <v>1.7788447476289664</v>
      </c>
      <c r="D79">
        <v>0.34787187281372306</v>
      </c>
      <c r="E79">
        <v>2.0070019323151418</v>
      </c>
      <c r="F79">
        <v>0</v>
      </c>
      <c r="G79">
        <f>0.598273828571001*0.8</f>
        <v>0.47861906285680078</v>
      </c>
      <c r="H79">
        <v>1.505145245656709E-3</v>
      </c>
      <c r="I79">
        <v>6.7802648496627805E-3</v>
      </c>
      <c r="J79">
        <v>8.3518642053345842E-5</v>
      </c>
      <c r="K79">
        <f>3.71097734075044/1000</f>
        <v>3.7109773407504399E-3</v>
      </c>
      <c r="L79">
        <v>0.01</v>
      </c>
      <c r="M79">
        <v>0.02</v>
      </c>
      <c r="N79">
        <v>28.282738883205997</v>
      </c>
      <c r="O79">
        <v>28.591123906569877</v>
      </c>
      <c r="P79">
        <v>4</v>
      </c>
      <c r="Q79" t="s">
        <v>39</v>
      </c>
      <c r="R79">
        <v>10838.493451193592</v>
      </c>
      <c r="S79">
        <v>14679.440269817926</v>
      </c>
      <c r="T7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0.39244105939177493</v>
      </c>
      <c r="U79" t="e">
        <f>Tableau1[[#This Row],[S2]]/Tableau1[[#This Row],[S1]]*SQRT(Tableau1[[#This Row],[rho1]]/Tableau1[[#This Row],[rho2]])*Tableau1[[#This Row],[J]]^(1/2)*Tableau1[[#This Row],[d2]]/Tableau1[[#This Row],[d1]]</f>
        <v>#DIV/0!</v>
      </c>
      <c r="V79">
        <v>0.47869304407146579</v>
      </c>
      <c r="W79">
        <v>0.34422056334871071</v>
      </c>
      <c r="X79">
        <v>0.67759012140022534</v>
      </c>
      <c r="Y79">
        <v>1.1794664292299073</v>
      </c>
      <c r="Z79">
        <v>16.568253760254617</v>
      </c>
      <c r="AA79">
        <v>28.84</v>
      </c>
      <c r="AB79">
        <f>Tableau1[[#This Row],[u2]]/Tableau1[[#This Row],[u1]]</f>
        <v>1.0109036477915863</v>
      </c>
      <c r="AC79">
        <f>ABS(Tableau1[[#This Row],[u2]]-Tableau1[[#This Row],[u1]])</f>
        <v>0.30838502336387918</v>
      </c>
      <c r="AD79">
        <f>(Tableau1[[#This Row],[d1]]+0.002)/Tableau1[[#This Row],[d2]]</f>
        <v>0.6</v>
      </c>
      <c r="AE79" t="e">
        <f>Tableau1[[#This Row],[S2]]*Tableau1[[#This Row],[u2]]/(Tableau1[[#This Row],[S1]]*Tableau1[[#This Row],[u1]])*(1-Tableau1[[#This Row],[ALPHA]]^3)/(1-Tableau1[[#This Row],[ALPHA]]^4)</f>
        <v>#DIV/0!</v>
      </c>
      <c r="AF79" s="1">
        <v>1</v>
      </c>
      <c r="AG79" s="1" t="s">
        <v>40</v>
      </c>
      <c r="AH79" t="s">
        <v>41</v>
      </c>
      <c r="AI79" t="s">
        <v>42</v>
      </c>
      <c r="AJ79" t="s">
        <v>42</v>
      </c>
      <c r="AK79" t="s">
        <v>44</v>
      </c>
      <c r="AL79">
        <v>18.125</v>
      </c>
      <c r="AM79">
        <v>2.6316454195798378</v>
      </c>
    </row>
    <row r="80" spans="1:39" x14ac:dyDescent="0.25">
      <c r="A80" t="s">
        <v>196</v>
      </c>
      <c r="B80">
        <v>10.018644900559554</v>
      </c>
      <c r="C80">
        <v>1.7822566745258066</v>
      </c>
      <c r="D80">
        <v>0.34767470820073121</v>
      </c>
      <c r="E80">
        <v>2.0075755535845015</v>
      </c>
      <c r="F80">
        <v>0</v>
      </c>
      <c r="G80">
        <f>0.796185638480172*0.8</f>
        <v>0.63694851078413761</v>
      </c>
      <c r="H80">
        <v>1.5047012888041616E-3</v>
      </c>
      <c r="I80">
        <v>6.7851520395278923E-3</v>
      </c>
      <c r="J80">
        <v>8.3516546353447447E-5</v>
      </c>
      <c r="K80">
        <f>4.95153626601808/1000</f>
        <v>4.9515362660180803E-3</v>
      </c>
      <c r="L80">
        <v>0.01</v>
      </c>
      <c r="M80">
        <v>0.02</v>
      </c>
      <c r="N80">
        <v>28.277644368108497</v>
      </c>
      <c r="O80">
        <v>28.611732283098902</v>
      </c>
      <c r="P80">
        <v>4</v>
      </c>
      <c r="Q80" t="s">
        <v>39</v>
      </c>
      <c r="R80">
        <v>10835.45367820422</v>
      </c>
      <c r="S80">
        <v>14690.021156155386</v>
      </c>
      <c r="T8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0.52244250019828653</v>
      </c>
      <c r="U80" t="e">
        <f>Tableau1[[#This Row],[S2]]/Tableau1[[#This Row],[S1]]*SQRT(Tableau1[[#This Row],[rho1]]/Tableau1[[#This Row],[rho2]])*Tableau1[[#This Row],[J]]^(1/2)*Tableau1[[#This Row],[d2]]/Tableau1[[#This Row],[d1]]</f>
        <v>#DIV/0!</v>
      </c>
      <c r="V80">
        <v>0.4786543517462335</v>
      </c>
      <c r="W80">
        <v>0.34415963836384145</v>
      </c>
      <c r="X80">
        <v>0.67751229875431629</v>
      </c>
      <c r="Y80">
        <v>1.1794664292299071</v>
      </c>
      <c r="Z80">
        <v>16.566350861577387</v>
      </c>
      <c r="AA80">
        <v>28.839999999999996</v>
      </c>
      <c r="AB80">
        <f>Tableau1[[#This Row],[u2]]/Tableau1[[#This Row],[u1]]</f>
        <v>1.0118145596090453</v>
      </c>
      <c r="AC80">
        <f>ABS(Tableau1[[#This Row],[u2]]-Tableau1[[#This Row],[u1]])</f>
        <v>0.33408791499040547</v>
      </c>
      <c r="AD80">
        <f>(Tableau1[[#This Row],[d1]]+0.002)/Tableau1[[#This Row],[d2]]</f>
        <v>0.6</v>
      </c>
      <c r="AE80" t="e">
        <f>Tableau1[[#This Row],[S2]]*Tableau1[[#This Row],[u2]]/(Tableau1[[#This Row],[S1]]*Tableau1[[#This Row],[u1]])*(1-Tableau1[[#This Row],[ALPHA]]^3)/(1-Tableau1[[#This Row],[ALPHA]]^4)</f>
        <v>#DIV/0!</v>
      </c>
      <c r="AF80" s="1">
        <v>1</v>
      </c>
      <c r="AG80" s="1" t="s">
        <v>40</v>
      </c>
      <c r="AH80" t="s">
        <v>47</v>
      </c>
      <c r="AI80" t="s">
        <v>42</v>
      </c>
      <c r="AJ80" t="s">
        <v>42</v>
      </c>
      <c r="AK80" t="s">
        <v>44</v>
      </c>
      <c r="AL80">
        <v>23.150000000000002</v>
      </c>
      <c r="AM80">
        <v>3.363302773630727</v>
      </c>
    </row>
    <row r="81" spans="1:39" x14ac:dyDescent="0.25">
      <c r="A81" t="s">
        <v>195</v>
      </c>
      <c r="B81">
        <v>10.026518296473679</v>
      </c>
      <c r="C81">
        <v>1.7513681805785883</v>
      </c>
      <c r="D81">
        <v>0.34899973674694645</v>
      </c>
      <c r="E81">
        <v>1.9988916709414479</v>
      </c>
      <c r="F81">
        <v>0</v>
      </c>
      <c r="G81">
        <f>1.00625434662883*0.8</f>
        <v>0.8050034773030641</v>
      </c>
      <c r="H81">
        <v>1.5120627692537028E-3</v>
      </c>
      <c r="I81">
        <v>6.7531242990493756E-3</v>
      </c>
      <c r="J81">
        <v>8.3582179863901957E-5</v>
      </c>
      <c r="K81">
        <f>6.1602046057463/1000</f>
        <v>6.1602046057462993E-3</v>
      </c>
      <c r="L81">
        <v>0.01</v>
      </c>
      <c r="M81">
        <v>0.02</v>
      </c>
      <c r="N81">
        <v>28.366569360861053</v>
      </c>
      <c r="O81">
        <v>28.476677220092881</v>
      </c>
      <c r="P81">
        <v>4</v>
      </c>
      <c r="Q81" t="s">
        <v>39</v>
      </c>
      <c r="R81">
        <v>10886.074755480868</v>
      </c>
      <c r="S81">
        <v>14620.680309779013</v>
      </c>
      <c r="T8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0.65819886271667694</v>
      </c>
      <c r="U81" t="e">
        <f>Tableau1[[#This Row],[S2]]/Tableau1[[#This Row],[S1]]*SQRT(Tableau1[[#This Row],[rho1]]/Tableau1[[#This Row],[rho2]])*Tableau1[[#This Row],[J]]^(1/2)*Tableau1[[#This Row],[d2]]/Tableau1[[#This Row],[d1]]</f>
        <v>#DIV/0!</v>
      </c>
      <c r="V81">
        <v>0.47924186085980969</v>
      </c>
      <c r="W81">
        <v>0.34508448590395385</v>
      </c>
      <c r="X81">
        <v>0.6786926143391544</v>
      </c>
      <c r="Y81">
        <v>1.1794664292299073</v>
      </c>
      <c r="Z81">
        <v>16.595211624904884</v>
      </c>
      <c r="AA81">
        <v>28.84</v>
      </c>
      <c r="AB81">
        <f>Tableau1[[#This Row],[u2]]/Tableau1[[#This Row],[u1]]</f>
        <v>1.0038816064724327</v>
      </c>
      <c r="AC81">
        <f>ABS(Tableau1[[#This Row],[u2]]-Tableau1[[#This Row],[u1]])</f>
        <v>0.11010785923182809</v>
      </c>
      <c r="AD81">
        <f>(Tableau1[[#This Row],[d1]]+0.002)/Tableau1[[#This Row],[d2]]</f>
        <v>0.6</v>
      </c>
      <c r="AE81" t="e">
        <f>Tableau1[[#This Row],[S2]]*Tableau1[[#This Row],[u2]]/(Tableau1[[#This Row],[S1]]*Tableau1[[#This Row],[u1]])*(1-Tableau1[[#This Row],[ALPHA]]^3)/(1-Tableau1[[#This Row],[ALPHA]]^4)</f>
        <v>#DIV/0!</v>
      </c>
      <c r="AF81" s="1">
        <v>1</v>
      </c>
      <c r="AG81" s="1" t="s">
        <v>40</v>
      </c>
      <c r="AH81" t="s">
        <v>47</v>
      </c>
      <c r="AI81" t="s">
        <v>42</v>
      </c>
      <c r="AJ81" t="s">
        <v>42</v>
      </c>
      <c r="AK81" t="s">
        <v>44</v>
      </c>
      <c r="AL81">
        <v>25.524999999999999</v>
      </c>
      <c r="AM81">
        <v>3.6931619896495169</v>
      </c>
    </row>
    <row r="82" spans="1:39" x14ac:dyDescent="0.25">
      <c r="A82" t="s">
        <v>194</v>
      </c>
      <c r="B82">
        <v>10.012337042004265</v>
      </c>
      <c r="C82">
        <v>1.7321304759024871</v>
      </c>
      <c r="D82">
        <v>0.35063508192046733</v>
      </c>
      <c r="E82">
        <v>1.9991924179507503</v>
      </c>
      <c r="F82">
        <v>0.28867513459481287</v>
      </c>
      <c r="G82">
        <v>0</v>
      </c>
      <c r="H82">
        <v>1.5097095573624729E-3</v>
      </c>
      <c r="I82">
        <v>6.7056827974319461E-3</v>
      </c>
      <c r="J82">
        <v>8.3463963337814816E-5</v>
      </c>
      <c r="K82">
        <v>0</v>
      </c>
      <c r="L82">
        <v>0.01</v>
      </c>
      <c r="M82">
        <v>0.02</v>
      </c>
      <c r="N82">
        <v>28.324131908401725</v>
      </c>
      <c r="O82">
        <v>28.276625174762355</v>
      </c>
      <c r="P82">
        <v>4</v>
      </c>
      <c r="Q82" t="s">
        <v>39</v>
      </c>
      <c r="R82">
        <v>10869.215421886902</v>
      </c>
      <c r="S82">
        <v>14517.968291186078</v>
      </c>
      <c r="T8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2.6560695692742799E-2</v>
      </c>
      <c r="U82">
        <f>Tableau1[[#This Row],[S2]]/Tableau1[[#This Row],[S1]]*SQRT(Tableau1[[#This Row],[rho1]]/Tableau1[[#This Row],[rho2]])*Tableau1[[#This Row],[J]]^(1/2)*Tableau1[[#This Row],[d2]]/Tableau1[[#This Row],[d1]]</f>
        <v>0</v>
      </c>
      <c r="V82">
        <v>0.47922145069005434</v>
      </c>
      <c r="W82">
        <v>0.34505236533291062</v>
      </c>
      <c r="X82">
        <v>0.67865165849207698</v>
      </c>
      <c r="Y82">
        <v>1.1794664292299071</v>
      </c>
      <c r="Z82">
        <v>16.594210183405202</v>
      </c>
      <c r="AA82">
        <v>28.839999999999996</v>
      </c>
      <c r="AB82">
        <f>Tableau1[[#This Row],[u2]]/Tableau1[[#This Row],[u1]]</f>
        <v>0.99832274705565549</v>
      </c>
      <c r="AC82">
        <f>ABS(Tableau1[[#This Row],[u2]]-Tableau1[[#This Row],[u1]])</f>
        <v>4.7506733639369969E-2</v>
      </c>
      <c r="AD82">
        <f>(Tableau1[[#This Row],[d1]]+0.002)/Tableau1[[#This Row],[d2]]</f>
        <v>0.6</v>
      </c>
      <c r="AE82">
        <f>Tableau1[[#This Row],[S2]]*Tableau1[[#This Row],[u2]]/(Tableau1[[#This Row],[S1]]*Tableau1[[#This Row],[u1]])*(1-Tableau1[[#This Row],[ALPHA]]^3)/(1-Tableau1[[#This Row],[ALPHA]]^4)</f>
        <v>0</v>
      </c>
      <c r="AF82" s="1">
        <v>1</v>
      </c>
      <c r="AG82" s="1" t="s">
        <v>40</v>
      </c>
      <c r="AH82" t="s">
        <v>41</v>
      </c>
      <c r="AI82" t="s">
        <v>42</v>
      </c>
      <c r="AJ82" t="s">
        <v>42</v>
      </c>
      <c r="AK82" t="s">
        <v>44</v>
      </c>
      <c r="AL82">
        <v>17.3</v>
      </c>
      <c r="AM82">
        <v>2.490505441013112</v>
      </c>
    </row>
    <row r="83" spans="1:39" x14ac:dyDescent="0.25">
      <c r="A83" t="s">
        <v>193</v>
      </c>
      <c r="B83">
        <v>10.006634829288522</v>
      </c>
      <c r="C83">
        <v>1.7370365845517313</v>
      </c>
      <c r="D83">
        <v>0.35067445557319421</v>
      </c>
      <c r="E83">
        <v>2.0024353762379024</v>
      </c>
      <c r="F83">
        <v>0.28867513459481287</v>
      </c>
      <c r="G83">
        <f>0.200738962042358*0.8</f>
        <v>0.16059116963388642</v>
      </c>
      <c r="H83">
        <v>1.506541250239821E-3</v>
      </c>
      <c r="I83">
        <v>6.7032597541809083E-3</v>
      </c>
      <c r="J83">
        <v>8.3416429053755607E-5</v>
      </c>
      <c r="K83">
        <f>1.22294362676049/1000</f>
        <v>1.2229436267604901E-3</v>
      </c>
      <c r="L83">
        <v>0.01</v>
      </c>
      <c r="M83">
        <v>0.02</v>
      </c>
      <c r="N83">
        <v>28.283080427926794</v>
      </c>
      <c r="O83">
        <v>28.266407649140945</v>
      </c>
      <c r="P83">
        <v>4</v>
      </c>
      <c r="Q83" t="s">
        <v>39</v>
      </c>
      <c r="R83">
        <v>10847.293873428443</v>
      </c>
      <c r="S83">
        <v>14512.722342913639</v>
      </c>
      <c r="T8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0.15760711264907923</v>
      </c>
      <c r="U83">
        <f>Tableau1[[#This Row],[S2]]/Tableau1[[#This Row],[S1]]*SQRT(Tableau1[[#This Row],[rho1]]/Tableau1[[#This Row],[rho2]])*Tableau1[[#This Row],[J]]^(1/2)*Tableau1[[#This Row],[d2]]/Tableau1[[#This Row],[d1]]</f>
        <v>1.1119523814626076</v>
      </c>
      <c r="V83">
        <v>0.47900165575115805</v>
      </c>
      <c r="W83">
        <v>0.34470642222298203</v>
      </c>
      <c r="X83">
        <v>0.67821038817471546</v>
      </c>
      <c r="Y83">
        <v>1.1794664292299071</v>
      </c>
      <c r="Z83">
        <v>16.583420358754562</v>
      </c>
      <c r="AA83">
        <v>28.839999999999996</v>
      </c>
      <c r="AB83">
        <f>Tableau1[[#This Row],[u2]]/Tableau1[[#This Row],[u1]]</f>
        <v>0.99941050343408189</v>
      </c>
      <c r="AC83">
        <f>ABS(Tableau1[[#This Row],[u2]]-Tableau1[[#This Row],[u1]])</f>
        <v>1.6672778785849829E-2</v>
      </c>
      <c r="AD83">
        <f>(Tableau1[[#This Row],[d1]]+0.002)/Tableau1[[#This Row],[d2]]</f>
        <v>0.6</v>
      </c>
      <c r="AE83">
        <f>Tableau1[[#This Row],[S2]]*Tableau1[[#This Row],[u2]]/(Tableau1[[#This Row],[S1]]*Tableau1[[#This Row],[u1]])*(1-Tableau1[[#This Row],[ALPHA]]^3)/(1-Tableau1[[#This Row],[ALPHA]]^4)</f>
        <v>0.50078737768076997</v>
      </c>
      <c r="AF83" s="1">
        <v>1</v>
      </c>
      <c r="AG83" s="1" t="s">
        <v>40</v>
      </c>
      <c r="AH83" t="s">
        <v>41</v>
      </c>
      <c r="AI83" t="s">
        <v>42</v>
      </c>
      <c r="AJ83" t="s">
        <v>42</v>
      </c>
      <c r="AK83" t="s">
        <v>44</v>
      </c>
      <c r="AL83">
        <v>18.125</v>
      </c>
      <c r="AM83">
        <v>2.6089560669463667</v>
      </c>
    </row>
    <row r="84" spans="1:39" x14ac:dyDescent="0.25">
      <c r="A84" t="s">
        <v>192</v>
      </c>
      <c r="B84">
        <v>10.084888842670097</v>
      </c>
      <c r="C84">
        <v>1.8102382805861026</v>
      </c>
      <c r="D84">
        <v>0.35058314408271646</v>
      </c>
      <c r="E84">
        <v>2.0456513768391553</v>
      </c>
      <c r="F84">
        <v>0.28867513459481287</v>
      </c>
      <c r="G84">
        <f>0.401940932299991*0.8</f>
        <v>0.32155274583999283</v>
      </c>
      <c r="H84">
        <v>1.4880229759422342E-3</v>
      </c>
      <c r="I84">
        <v>6.7881135368347174E-3</v>
      </c>
      <c r="J84">
        <v>8.4068763276676356E-5</v>
      </c>
      <c r="K84">
        <f>2.4768487249568/1000</f>
        <v>2.4768487249567997E-3</v>
      </c>
      <c r="L84">
        <v>0.01</v>
      </c>
      <c r="M84">
        <v>0.02</v>
      </c>
      <c r="N84">
        <v>28.177172939389937</v>
      </c>
      <c r="O84">
        <v>28.624220369969517</v>
      </c>
      <c r="P84">
        <v>4</v>
      </c>
      <c r="Q84" t="s">
        <v>39</v>
      </c>
      <c r="R84">
        <v>10725.690640517902</v>
      </c>
      <c r="S84">
        <v>14696.4328707106</v>
      </c>
      <c r="T8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0.29009932493519092</v>
      </c>
      <c r="U84">
        <f>Tableau1[[#This Row],[S2]]/Tableau1[[#This Row],[S1]]*SQRT(Tableau1[[#This Row],[rho1]]/Tableau1[[#This Row],[rho2]])*Tableau1[[#This Row],[J]]^(1/2)*Tableau1[[#This Row],[d2]]/Tableau1[[#This Row],[d1]]</f>
        <v>2.2631278571381399</v>
      </c>
      <c r="V84">
        <v>0.4761221308624089</v>
      </c>
      <c r="W84">
        <v>0.34016744471850596</v>
      </c>
      <c r="X84">
        <v>0.67239169114641939</v>
      </c>
      <c r="Y84">
        <v>1.1794664292299075</v>
      </c>
      <c r="Z84">
        <v>16.44114312378008</v>
      </c>
      <c r="AA84">
        <v>28.840000000000003</v>
      </c>
      <c r="AB84">
        <f>Tableau1[[#This Row],[u2]]/Tableau1[[#This Row],[u1]]</f>
        <v>1.0158655884868646</v>
      </c>
      <c r="AC84">
        <f>ABS(Tableau1[[#This Row],[u2]]-Tableau1[[#This Row],[u1]])</f>
        <v>0.44704743057958041</v>
      </c>
      <c r="AD84">
        <f>(Tableau1[[#This Row],[d1]]+0.002)/Tableau1[[#This Row],[d2]]</f>
        <v>0.6</v>
      </c>
      <c r="AE84">
        <f>Tableau1[[#This Row],[S2]]*Tableau1[[#This Row],[u2]]/(Tableau1[[#This Row],[S1]]*Tableau1[[#This Row],[u1]])*(1-Tableau1[[#This Row],[ALPHA]]^3)/(1-Tableau1[[#This Row],[ALPHA]]^4)</f>
        <v>1.0192395680125814</v>
      </c>
      <c r="AF84" s="1">
        <v>1</v>
      </c>
      <c r="AG84" s="1" t="s">
        <v>40</v>
      </c>
      <c r="AH84" t="s">
        <v>41</v>
      </c>
      <c r="AI84" t="s">
        <v>42</v>
      </c>
      <c r="AJ84" t="s">
        <v>42</v>
      </c>
      <c r="AK84" t="s">
        <v>44</v>
      </c>
      <c r="AL84">
        <v>18.299999999999997</v>
      </c>
      <c r="AM84">
        <v>2.6348865991104984</v>
      </c>
    </row>
    <row r="85" spans="1:39" x14ac:dyDescent="0.25">
      <c r="A85" t="s">
        <v>191</v>
      </c>
      <c r="B85">
        <v>10.084048937590726</v>
      </c>
      <c r="C85">
        <v>1.8174034376115784</v>
      </c>
      <c r="D85">
        <v>0.34991768148135743</v>
      </c>
      <c r="E85">
        <v>2.0449661242754646</v>
      </c>
      <c r="F85">
        <v>0.28867513459481287</v>
      </c>
      <c r="G85">
        <f>0.601063615042243*0.8</f>
        <v>0.48085089203379444</v>
      </c>
      <c r="H85">
        <v>1.4883694633215107E-3</v>
      </c>
      <c r="I85">
        <v>6.8026559066772466E-3</v>
      </c>
      <c r="J85">
        <v>8.4061761733833989E-5</v>
      </c>
      <c r="K85">
        <f>3.72323242326691/1000</f>
        <v>3.7232324232669097E-3</v>
      </c>
      <c r="L85">
        <v>0.01</v>
      </c>
      <c r="M85">
        <v>0.02</v>
      </c>
      <c r="N85">
        <v>28.179904399037859</v>
      </c>
      <c r="O85">
        <v>28.685542856226615</v>
      </c>
      <c r="P85">
        <v>4</v>
      </c>
      <c r="Q85" t="s">
        <v>39</v>
      </c>
      <c r="R85">
        <v>10728.001617357646</v>
      </c>
      <c r="S85">
        <v>14727.91745932451</v>
      </c>
      <c r="T8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0.42131790992359053</v>
      </c>
      <c r="U85">
        <f>Tableau1[[#This Row],[S2]]/Tableau1[[#This Row],[S1]]*SQRT(Tableau1[[#This Row],[rho1]]/Tableau1[[#This Row],[rho2]])*Tableau1[[#This Row],[J]]^(1/2)*Tableau1[[#This Row],[d2]]/Tableau1[[#This Row],[d1]]</f>
        <v>3.3912093609256182</v>
      </c>
      <c r="V85">
        <v>0.47616708356072956</v>
      </c>
      <c r="W85">
        <v>0.34023840047592829</v>
      </c>
      <c r="X85">
        <v>0.6724830684457187</v>
      </c>
      <c r="Y85">
        <v>1.1794664292299073</v>
      </c>
      <c r="Z85">
        <v>16.443377457243486</v>
      </c>
      <c r="AA85">
        <v>28.84</v>
      </c>
      <c r="AB85">
        <f>Tableau1[[#This Row],[u2]]/Tableau1[[#This Row],[u1]]</f>
        <v>1.0179432282675174</v>
      </c>
      <c r="AC85">
        <f>ABS(Tableau1[[#This Row],[u2]]-Tableau1[[#This Row],[u1]])</f>
        <v>0.50563845718875555</v>
      </c>
      <c r="AD85">
        <f>(Tableau1[[#This Row],[d1]]+0.002)/Tableau1[[#This Row],[d2]]</f>
        <v>0.6</v>
      </c>
      <c r="AE85">
        <f>Tableau1[[#This Row],[S2]]*Tableau1[[#This Row],[u2]]/(Tableau1[[#This Row],[S1]]*Tableau1[[#This Row],[u1]])*(1-Tableau1[[#This Row],[ALPHA]]^3)/(1-Tableau1[[#This Row],[ALPHA]]^4)</f>
        <v>1.5272909805639276</v>
      </c>
      <c r="AF85" s="1">
        <v>1</v>
      </c>
      <c r="AG85" s="1" t="s">
        <v>40</v>
      </c>
      <c r="AH85" t="s">
        <v>47</v>
      </c>
      <c r="AI85" t="s">
        <v>42</v>
      </c>
      <c r="AJ85" t="s">
        <v>42</v>
      </c>
      <c r="AK85" t="s">
        <v>44</v>
      </c>
      <c r="AL85">
        <v>15.149999999999999</v>
      </c>
      <c r="AM85">
        <v>2.185818590295598</v>
      </c>
    </row>
    <row r="86" spans="1:39" x14ac:dyDescent="0.25">
      <c r="A86" t="s">
        <v>190</v>
      </c>
      <c r="B86">
        <v>10.081729199752454</v>
      </c>
      <c r="C86">
        <v>1.8124965321545274</v>
      </c>
      <c r="D86">
        <v>0.35025209510240379</v>
      </c>
      <c r="E86">
        <v>2.044536093314941</v>
      </c>
      <c r="F86">
        <v>0.28867513459481287</v>
      </c>
      <c r="G86">
        <f>0.799280425232151*0.8</f>
        <v>0.63942434018572092</v>
      </c>
      <c r="H86">
        <v>1.4883223809569438E-3</v>
      </c>
      <c r="I86">
        <v>6.7929616785049442E-3</v>
      </c>
      <c r="J86">
        <v>8.4042424139316882E-5</v>
      </c>
      <c r="K86">
        <f>4.95723543243234/1000</f>
        <v>4.9572354324323407E-3</v>
      </c>
      <c r="L86">
        <v>0.01</v>
      </c>
      <c r="M86">
        <v>0.02</v>
      </c>
      <c r="N86">
        <v>28.176609690492093</v>
      </c>
      <c r="O86">
        <v>28.644664087476656</v>
      </c>
      <c r="P86">
        <v>4</v>
      </c>
      <c r="Q86" t="s">
        <v>39</v>
      </c>
      <c r="R86">
        <v>10727.545220058388</v>
      </c>
      <c r="S86">
        <v>14706.929216745113</v>
      </c>
      <c r="T8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0.5516428593019268</v>
      </c>
      <c r="U86">
        <f>Tableau1[[#This Row],[S2]]/Tableau1[[#This Row],[S1]]*SQRT(Tableau1[[#This Row],[rho1]]/Tableau1[[#This Row],[rho2]])*Tableau1[[#This Row],[J]]^(1/2)*Tableau1[[#This Row],[d2]]/Tableau1[[#This Row],[d1]]</f>
        <v>4.5036515374143802</v>
      </c>
      <c r="V86">
        <v>0.47619530511939279</v>
      </c>
      <c r="W86">
        <v>0.34028294532669895</v>
      </c>
      <c r="X86">
        <v>0.67254042681657966</v>
      </c>
      <c r="Y86">
        <v>1.1794664292299073</v>
      </c>
      <c r="Z86">
        <v>16.444779968900143</v>
      </c>
      <c r="AA86">
        <v>28.84</v>
      </c>
      <c r="AB86">
        <f>Tableau1[[#This Row],[u2]]/Tableau1[[#This Row],[u1]]</f>
        <v>1.0166114519144049</v>
      </c>
      <c r="AC86">
        <f>ABS(Tableau1[[#This Row],[u2]]-Tableau1[[#This Row],[u1]])</f>
        <v>0.46805439698456297</v>
      </c>
      <c r="AD86">
        <f>(Tableau1[[#This Row],[d1]]+0.002)/Tableau1[[#This Row],[d2]]</f>
        <v>0.6</v>
      </c>
      <c r="AE86">
        <f>Tableau1[[#This Row],[S2]]*Tableau1[[#This Row],[u2]]/(Tableau1[[#This Row],[S1]]*Tableau1[[#This Row],[u1]])*(1-Tableau1[[#This Row],[ALPHA]]^3)/(1-Tableau1[[#This Row],[ALPHA]]^4)</f>
        <v>2.0282989460781673</v>
      </c>
      <c r="AF86" s="1">
        <v>1</v>
      </c>
      <c r="AG86" s="1" t="s">
        <v>40</v>
      </c>
      <c r="AH86" t="s">
        <v>47</v>
      </c>
      <c r="AI86" t="s">
        <v>42</v>
      </c>
      <c r="AJ86" t="s">
        <v>42</v>
      </c>
      <c r="AK86" t="s">
        <v>44</v>
      </c>
      <c r="AL86">
        <v>12.100000000000001</v>
      </c>
      <c r="AM86">
        <v>1.7439703005161609</v>
      </c>
    </row>
    <row r="87" spans="1:39" x14ac:dyDescent="0.25">
      <c r="A87" t="s">
        <v>189</v>
      </c>
      <c r="B87">
        <v>10.080260794273551</v>
      </c>
      <c r="C87">
        <v>1.812244011200522</v>
      </c>
      <c r="D87">
        <v>0.35031921236801739</v>
      </c>
      <c r="E87">
        <v>2.0448847284800324</v>
      </c>
      <c r="F87">
        <v>0.28867513459481287</v>
      </c>
      <c r="G87">
        <f>1.001513921026*0.8</f>
        <v>0.80121113682080003</v>
      </c>
      <c r="H87">
        <v>1.4878662238435548E-3</v>
      </c>
      <c r="I87">
        <v>6.7906413936614993E-3</v>
      </c>
      <c r="J87">
        <v>8.4030183346728499E-5</v>
      </c>
      <c r="K87">
        <f>6.19442772511881/1000</f>
        <v>6.1944277251188094E-3</v>
      </c>
      <c r="L87">
        <v>0.01</v>
      </c>
      <c r="M87">
        <v>0.02</v>
      </c>
      <c r="N87">
        <v>28.169921615072969</v>
      </c>
      <c r="O87">
        <v>28.634879875070734</v>
      </c>
      <c r="P87">
        <v>4</v>
      </c>
      <c r="Q87" t="s">
        <v>39</v>
      </c>
      <c r="R87">
        <v>10724.352177648818</v>
      </c>
      <c r="S87">
        <v>14701.90574295411</v>
      </c>
      <c r="T8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0.68473065759555629</v>
      </c>
      <c r="U87">
        <f>Tableau1[[#This Row],[S2]]/Tableau1[[#This Row],[S1]]*SQRT(Tableau1[[#This Row],[rho1]]/Tableau1[[#This Row],[rho2]])*Tableau1[[#This Row],[J]]^(1/2)*Tableau1[[#This Row],[d2]]/Tableau1[[#This Row],[d1]]</f>
        <v>5.642574775552184</v>
      </c>
      <c r="V87">
        <v>0.47617242462942494</v>
      </c>
      <c r="W87">
        <v>0.34024683090113289</v>
      </c>
      <c r="X87">
        <v>0.67249392432094857</v>
      </c>
      <c r="Y87">
        <v>1.1794664292299073</v>
      </c>
      <c r="Z87">
        <v>16.443642902222564</v>
      </c>
      <c r="AA87">
        <v>28.84</v>
      </c>
      <c r="AB87">
        <f>Tableau1[[#This Row],[u2]]/Tableau1[[#This Row],[u1]]</f>
        <v>1.0165054864671323</v>
      </c>
      <c r="AC87">
        <f>ABS(Tableau1[[#This Row],[u2]]-Tableau1[[#This Row],[u1]])</f>
        <v>0.46495825999776486</v>
      </c>
      <c r="AD87">
        <f>(Tableau1[[#This Row],[d1]]+0.002)/Tableau1[[#This Row],[d2]]</f>
        <v>0.6</v>
      </c>
      <c r="AE87">
        <f>Tableau1[[#This Row],[S2]]*Tableau1[[#This Row],[u2]]/(Tableau1[[#This Row],[S1]]*Tableau1[[#This Row],[u1]])*(1-Tableau1[[#This Row],[ALPHA]]^3)/(1-Tableau1[[#This Row],[ALPHA]]^4)</f>
        <v>2.5412331250189064</v>
      </c>
      <c r="AF87" s="1">
        <v>1</v>
      </c>
      <c r="AG87" s="1" t="s">
        <v>40</v>
      </c>
      <c r="AH87" t="s">
        <v>47</v>
      </c>
      <c r="AI87" t="s">
        <v>42</v>
      </c>
      <c r="AJ87" t="s">
        <v>42</v>
      </c>
      <c r="AK87" t="s">
        <v>44</v>
      </c>
      <c r="AL87">
        <v>10.199999999999999</v>
      </c>
      <c r="AM87">
        <v>1.4698197067301439</v>
      </c>
    </row>
    <row r="88" spans="1:39" x14ac:dyDescent="0.25">
      <c r="A88" t="s">
        <v>149</v>
      </c>
      <c r="B88">
        <v>10.006857661248356</v>
      </c>
      <c r="C88">
        <v>1.7733650043514109</v>
      </c>
      <c r="D88">
        <v>0.34887915997821339</v>
      </c>
      <c r="E88">
        <v>2.0111231953175346</v>
      </c>
      <c r="F88">
        <v>0.86602540378443837</v>
      </c>
      <c r="G88">
        <v>0</v>
      </c>
      <c r="H88">
        <v>1.5004269273720819E-3</v>
      </c>
      <c r="I88">
        <v>6.7513753509521489E-3</v>
      </c>
      <c r="J88">
        <v>8.3418286605938275E-5</v>
      </c>
      <c r="L88">
        <v>0.01</v>
      </c>
      <c r="M88">
        <v>0.02</v>
      </c>
      <c r="N88">
        <v>28.217343689797318</v>
      </c>
      <c r="O88">
        <v>28.469302229165127</v>
      </c>
      <c r="P88">
        <v>2</v>
      </c>
      <c r="Q88" t="s">
        <v>39</v>
      </c>
      <c r="R88">
        <v>10805.64306958385</v>
      </c>
      <c r="S88">
        <v>14616.893794104844</v>
      </c>
      <c r="T8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7.8163755995418402E-2</v>
      </c>
      <c r="U88">
        <f>Tableau1[[#This Row],[S2]]/Tableau1[[#This Row],[S1]]*SQRT(Tableau1[[#This Row],[rho1]]/Tableau1[[#This Row],[rho2]])*Tableau1[[#This Row],[J]]^(1/2)*Tableau1[[#This Row],[d2]]/Tableau1[[#This Row],[d1]]</f>
        <v>0</v>
      </c>
      <c r="V88">
        <v>0.47841541679618865</v>
      </c>
      <c r="W88">
        <v>0.3437833606483553</v>
      </c>
      <c r="X88">
        <v>0.67703144524066694</v>
      </c>
      <c r="Y88">
        <v>1.1794664292299075</v>
      </c>
      <c r="Z88">
        <v>16.554593159119758</v>
      </c>
      <c r="AA88">
        <v>28.840000000000003</v>
      </c>
      <c r="AB88">
        <f>Tableau1[[#This Row],[u2]]/Tableau1[[#This Row],[u1]]</f>
        <v>1.0089292082960633</v>
      </c>
      <c r="AC88">
        <f>ABS(Tableau1[[#This Row],[u2]]-Tableau1[[#This Row],[u1]])</f>
        <v>0.25195853936780921</v>
      </c>
      <c r="AD88">
        <f>(Tableau1[[#This Row],[d1]]+0.002)/Tableau1[[#This Row],[d2]]</f>
        <v>0.6</v>
      </c>
      <c r="AE88">
        <f>Tableau1[[#This Row],[S2]]*Tableau1[[#This Row],[u2]]/(Tableau1[[#This Row],[S1]]*Tableau1[[#This Row],[u1]])*(1-Tableau1[[#This Row],[ALPHA]]^3)/(1-Tableau1[[#This Row],[ALPHA]]^4)</f>
        <v>0</v>
      </c>
      <c r="AF88" s="1">
        <v>1</v>
      </c>
      <c r="AG88" s="1" t="s">
        <v>40</v>
      </c>
      <c r="AH88" t="s">
        <v>41</v>
      </c>
      <c r="AI88" t="s">
        <v>42</v>
      </c>
      <c r="AJ88" t="s">
        <v>42</v>
      </c>
      <c r="AK88" t="s">
        <v>44</v>
      </c>
      <c r="AL88">
        <v>6.7999999999999989</v>
      </c>
      <c r="AM88">
        <v>0.98424553892466127</v>
      </c>
    </row>
    <row r="89" spans="1:39" x14ac:dyDescent="0.25">
      <c r="A89" t="s">
        <v>150</v>
      </c>
      <c r="B89">
        <v>10.005572092249317</v>
      </c>
      <c r="C89">
        <v>1.7658637774819965</v>
      </c>
      <c r="D89">
        <v>0.34915194980726832</v>
      </c>
      <c r="E89">
        <v>2.0086492958620168</v>
      </c>
      <c r="F89">
        <v>0.86602540378443837</v>
      </c>
      <c r="G89">
        <v>0.28153057421659144</v>
      </c>
      <c r="H89">
        <v>1.5019791661043604E-3</v>
      </c>
      <c r="I89">
        <v>6.742381935119628E-3</v>
      </c>
      <c r="J89">
        <v>8.3407569958730544E-5</v>
      </c>
      <c r="L89">
        <v>0.01</v>
      </c>
      <c r="M89">
        <v>0.02</v>
      </c>
      <c r="N89">
        <v>28.232555963620779</v>
      </c>
      <c r="O89">
        <v>28.431378656544855</v>
      </c>
      <c r="P89">
        <v>2</v>
      </c>
      <c r="Q89" t="s">
        <v>39</v>
      </c>
      <c r="R89">
        <v>10816.145140178147</v>
      </c>
      <c r="S89">
        <v>14597.422827488888</v>
      </c>
      <c r="T8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0.30896995008590827</v>
      </c>
      <c r="U89">
        <f>Tableau1[[#This Row],[S2]]/Tableau1[[#This Row],[S1]]*SQRT(Tableau1[[#This Row],[rho1]]/Tableau1[[#This Row],[rho2]])*Tableau1[[#This Row],[J]]^(1/2)*Tableau1[[#This Row],[d2]]/Tableau1[[#This Row],[d1]]</f>
        <v>0.65474569536922611</v>
      </c>
      <c r="V89">
        <v>0.47858196887005483</v>
      </c>
      <c r="W89">
        <v>0.34404565808169385</v>
      </c>
      <c r="X89">
        <v>0.67736667984174803</v>
      </c>
      <c r="Y89">
        <v>1.1794664292299073</v>
      </c>
      <c r="Z89">
        <v>16.562790226586522</v>
      </c>
      <c r="AA89">
        <v>28.84</v>
      </c>
      <c r="AB89">
        <f>Tableau1[[#This Row],[u2]]/Tableau1[[#This Row],[u1]]</f>
        <v>1.0070423199791145</v>
      </c>
      <c r="AC89">
        <f>ABS(Tableau1[[#This Row],[u2]]-Tableau1[[#This Row],[u1]])</f>
        <v>0.19882269292407528</v>
      </c>
      <c r="AD89">
        <f>(Tableau1[[#This Row],[d1]]+0.002)/Tableau1[[#This Row],[d2]]</f>
        <v>0.6</v>
      </c>
      <c r="AE89">
        <f>Tableau1[[#This Row],[S2]]*Tableau1[[#This Row],[u2]]/(Tableau1[[#This Row],[S1]]*Tableau1[[#This Row],[u1]])*(1-Tableau1[[#This Row],[ALPHA]]^3)/(1-Tableau1[[#This Row],[ALPHA]]^4)</f>
        <v>0.29487627824533169</v>
      </c>
      <c r="AF89" s="1">
        <v>1</v>
      </c>
      <c r="AG89" s="1" t="s">
        <v>40</v>
      </c>
      <c r="AH89" s="1" t="s">
        <v>41</v>
      </c>
      <c r="AI89" t="s">
        <v>42</v>
      </c>
      <c r="AJ89" t="s">
        <v>42</v>
      </c>
      <c r="AK89" t="s">
        <v>44</v>
      </c>
      <c r="AL89">
        <v>9.6999999999999993</v>
      </c>
      <c r="AM89">
        <v>1.4028136732516299</v>
      </c>
    </row>
    <row r="90" spans="1:39" x14ac:dyDescent="0.25">
      <c r="A90" t="s">
        <v>151</v>
      </c>
      <c r="B90">
        <v>10.006309151808768</v>
      </c>
      <c r="C90">
        <v>1.7564743608059099</v>
      </c>
      <c r="D90">
        <v>0.34987037240715141</v>
      </c>
      <c r="E90">
        <v>2.008276460845615</v>
      </c>
      <c r="F90">
        <v>0.86602540378443837</v>
      </c>
      <c r="G90">
        <v>0.56623739801355455</v>
      </c>
      <c r="H90">
        <v>1.5023531854146085E-3</v>
      </c>
      <c r="I90">
        <v>6.7258563280105602E-3</v>
      </c>
      <c r="J90">
        <v>8.3413714169796335E-5</v>
      </c>
      <c r="L90">
        <v>0.01</v>
      </c>
      <c r="M90">
        <v>0.02</v>
      </c>
      <c r="N90">
        <v>28.237478870204296</v>
      </c>
      <c r="O90">
        <v>28.361693225228674</v>
      </c>
      <c r="P90">
        <v>2</v>
      </c>
      <c r="Q90" t="s">
        <v>39</v>
      </c>
      <c r="R90">
        <v>10818.736558288614</v>
      </c>
      <c r="S90">
        <v>14561.644481383106</v>
      </c>
      <c r="T9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0.54199962966786275</v>
      </c>
      <c r="U90">
        <f>Tableau1[[#This Row],[S2]]/Tableau1[[#This Row],[S1]]*SQRT(Tableau1[[#This Row],[rho1]]/Tableau1[[#This Row],[rho2]])*Tableau1[[#This Row],[J]]^(1/2)*Tableau1[[#This Row],[d2]]/Tableau1[[#This Row],[d1]]</f>
        <v>1.3134215865485477</v>
      </c>
      <c r="V90">
        <v>0.47860709584699962</v>
      </c>
      <c r="W90">
        <v>0.34408522607649561</v>
      </c>
      <c r="X90">
        <v>0.6774172349526324</v>
      </c>
      <c r="Y90">
        <v>1.1794664292299071</v>
      </c>
      <c r="Z90">
        <v>16.564026386736376</v>
      </c>
      <c r="AA90">
        <v>28.839999999999996</v>
      </c>
      <c r="AB90">
        <f>Tableau1[[#This Row],[u2]]/Tableau1[[#This Row],[u1]]</f>
        <v>1.0043989180335589</v>
      </c>
      <c r="AC90">
        <f>ABS(Tableau1[[#This Row],[u2]]-Tableau1[[#This Row],[u1]])</f>
        <v>0.12421435502437816</v>
      </c>
      <c r="AD90">
        <f>(Tableau1[[#This Row],[d1]]+0.002)/Tableau1[[#This Row],[d2]]</f>
        <v>0.6</v>
      </c>
      <c r="AE90">
        <f>Tableau1[[#This Row],[S2]]*Tableau1[[#This Row],[u2]]/(Tableau1[[#This Row],[S1]]*Tableau1[[#This Row],[u1]])*(1-Tableau1[[#This Row],[ALPHA]]^3)/(1-Tableau1[[#This Row],[ALPHA]]^4)</f>
        <v>0.59152258953013637</v>
      </c>
      <c r="AF90" s="1">
        <v>1</v>
      </c>
      <c r="AG90" s="1" t="s">
        <v>40</v>
      </c>
      <c r="AH90" s="1" t="s">
        <v>41</v>
      </c>
      <c r="AI90" t="s">
        <v>42</v>
      </c>
      <c r="AJ90" t="s">
        <v>42</v>
      </c>
      <c r="AK90" t="s">
        <v>44</v>
      </c>
      <c r="AL90">
        <v>11.05</v>
      </c>
      <c r="AM90">
        <v>1.5945095968693428</v>
      </c>
    </row>
    <row r="91" spans="1:39" x14ac:dyDescent="0.25">
      <c r="A91" t="s">
        <v>152</v>
      </c>
      <c r="B91">
        <v>10.008000389247501</v>
      </c>
      <c r="C91">
        <v>1.7514521171063384</v>
      </c>
      <c r="D91">
        <v>0.35038606897261221</v>
      </c>
      <c r="E91">
        <v>2.0090174500806266</v>
      </c>
      <c r="F91">
        <v>0.86602540378443837</v>
      </c>
      <c r="G91">
        <v>0.84887886306636495</v>
      </c>
      <c r="H91">
        <v>1.5020836705544232E-3</v>
      </c>
      <c r="I91">
        <v>6.7155270528793326E-3</v>
      </c>
      <c r="J91">
        <v>8.3427812514567373E-5</v>
      </c>
      <c r="L91">
        <v>0.01</v>
      </c>
      <c r="M91">
        <v>0.02</v>
      </c>
      <c r="N91">
        <v>28.236600946746801</v>
      </c>
      <c r="O91">
        <v>28.318136580806939</v>
      </c>
      <c r="P91">
        <v>2</v>
      </c>
      <c r="Q91" t="s">
        <v>39</v>
      </c>
      <c r="R91">
        <v>10816.998402800733</v>
      </c>
      <c r="S91">
        <v>14539.281346508391</v>
      </c>
      <c r="T9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0.77304232202339074</v>
      </c>
      <c r="U91">
        <f>Tableau1[[#This Row],[S2]]/Tableau1[[#This Row],[S1]]*SQRT(Tableau1[[#This Row],[rho1]]/Tableau1[[#This Row],[rho2]])*Tableau1[[#This Row],[J]]^(1/2)*Tableau1[[#This Row],[d2]]/Tableau1[[#This Row],[d1]]</f>
        <v>1.9660625905025031</v>
      </c>
      <c r="V91">
        <v>0.47855716412852622</v>
      </c>
      <c r="W91">
        <v>0.34400659657625837</v>
      </c>
      <c r="X91">
        <v>0.67731676785664263</v>
      </c>
      <c r="Y91">
        <v>1.1794664292299073</v>
      </c>
      <c r="Z91">
        <v>16.561569791977476</v>
      </c>
      <c r="AA91">
        <v>28.84</v>
      </c>
      <c r="AB91">
        <f>Tableau1[[#This Row],[u2]]/Tableau1[[#This Row],[u1]]</f>
        <v>1.0028875867252547</v>
      </c>
      <c r="AC91">
        <f>ABS(Tableau1[[#This Row],[u2]]-Tableau1[[#This Row],[u1]])</f>
        <v>8.1535634060138307E-2</v>
      </c>
      <c r="AD91">
        <f>(Tableau1[[#This Row],[d1]]+0.002)/Tableau1[[#This Row],[d2]]</f>
        <v>0.6</v>
      </c>
      <c r="AE91">
        <f>Tableau1[[#This Row],[S2]]*Tableau1[[#This Row],[u2]]/(Tableau1[[#This Row],[S1]]*Tableau1[[#This Row],[u1]])*(1-Tableau1[[#This Row],[ALPHA]]^3)/(1-Tableau1[[#This Row],[ALPHA]]^4)</f>
        <v>0.88545098285498758</v>
      </c>
      <c r="AF91" s="1">
        <v>1</v>
      </c>
      <c r="AG91" s="1" t="s">
        <v>40</v>
      </c>
      <c r="AH91" s="1" t="s">
        <v>41</v>
      </c>
      <c r="AI91" t="s">
        <v>42</v>
      </c>
      <c r="AJ91" t="s">
        <v>42</v>
      </c>
      <c r="AK91" t="s">
        <v>44</v>
      </c>
      <c r="AL91">
        <v>11.074999999999999</v>
      </c>
      <c r="AM91">
        <v>1.5955784916674212</v>
      </c>
    </row>
    <row r="92" spans="1:39" x14ac:dyDescent="0.25">
      <c r="A92" t="s">
        <v>67</v>
      </c>
      <c r="B92">
        <v>9.9999270159335314</v>
      </c>
      <c r="C92">
        <v>0.57803098531930974</v>
      </c>
      <c r="D92">
        <v>0.34938987863557441</v>
      </c>
      <c r="E92">
        <v>2.0093208627267671</v>
      </c>
      <c r="F92">
        <v>0.28867513459481287</v>
      </c>
      <c r="G92">
        <v>0.70208794756862747</v>
      </c>
      <c r="H92">
        <v>1.5006579038615822E-3</v>
      </c>
      <c r="I92">
        <v>6.7334974431991577E-3</v>
      </c>
      <c r="J92">
        <v>8.3360511970102802E-5</v>
      </c>
      <c r="K92">
        <v>3.4018355798721314E-3</v>
      </c>
      <c r="L92">
        <v>6.0000000000000001E-3</v>
      </c>
      <c r="M92">
        <v>1.4999999999999999E-2</v>
      </c>
      <c r="N92">
        <v>78.365311253112154</v>
      </c>
      <c r="O92">
        <v>45.148087486700938</v>
      </c>
      <c r="P92">
        <v>2</v>
      </c>
      <c r="Q92" t="s">
        <v>39</v>
      </c>
      <c r="R92">
        <v>18011.35650495371</v>
      </c>
      <c r="S92">
        <v>20282.695907928024</v>
      </c>
      <c r="T9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0.5384605250408665</v>
      </c>
      <c r="U92">
        <f>Tableau1[[#This Row],[S2]]/Tableau1[[#This Row],[S1]]*SQRT(Tableau1[[#This Row],[rho1]]/Tableau1[[#This Row],[rho2]])*Tableau1[[#This Row],[J]]^(1/2)*Tableau1[[#This Row],[d2]]/Tableau1[[#This Row],[d1]]</f>
        <v>3.5029798932475495</v>
      </c>
      <c r="V92">
        <v>0.47853672647147888</v>
      </c>
      <c r="W92">
        <v>0.34397441147605962</v>
      </c>
      <c r="X92">
        <v>0.67727563941049529</v>
      </c>
      <c r="Y92">
        <v>1.1794664292299073</v>
      </c>
      <c r="Z92">
        <v>16.560564130131159</v>
      </c>
      <c r="AA92">
        <v>28.84</v>
      </c>
      <c r="AB92">
        <f>Tableau1[[#This Row],[u2]]/Tableau1[[#This Row],[u1]]</f>
        <v>0.57612337352782417</v>
      </c>
      <c r="AC92">
        <f>ABS(Tableau1[[#This Row],[u2]]-Tableau1[[#This Row],[u1]])</f>
        <v>33.217223766411216</v>
      </c>
      <c r="AD92">
        <f>(Tableau1[[#This Row],[d1]]+0.002)/Tableau1[[#This Row],[d2]]</f>
        <v>0.53333333333333333</v>
      </c>
      <c r="AE92">
        <f>Tableau1[[#This Row],[S2]]*Tableau1[[#This Row],[u2]]/(Tableau1[[#This Row],[S1]]*Tableau1[[#This Row],[u1]])*(1-Tableau1[[#This Row],[ALPHA]]^3)/(1-Tableau1[[#This Row],[ALPHA]]^4)</f>
        <v>1.2932620216683446</v>
      </c>
      <c r="AF92">
        <v>1</v>
      </c>
      <c r="AG92" t="s">
        <v>40</v>
      </c>
      <c r="AH92" t="s">
        <v>41</v>
      </c>
      <c r="AI92" t="s">
        <v>42</v>
      </c>
      <c r="AJ92" t="s">
        <v>43</v>
      </c>
      <c r="AK92" t="s">
        <v>44</v>
      </c>
      <c r="AL92" t="s">
        <v>44</v>
      </c>
      <c r="AM92" t="s">
        <v>44</v>
      </c>
    </row>
    <row r="93" spans="1:39" x14ac:dyDescent="0.25">
      <c r="A93" t="s">
        <v>68</v>
      </c>
      <c r="B93">
        <v>10.000526948133086</v>
      </c>
      <c r="C93">
        <v>0.57438026153688337</v>
      </c>
      <c r="D93">
        <v>0.3503255642944379</v>
      </c>
      <c r="E93">
        <v>2.0094690908427011</v>
      </c>
      <c r="F93">
        <v>0.28867513459481287</v>
      </c>
      <c r="G93">
        <v>0.88155043858478199</v>
      </c>
      <c r="H93">
        <v>1.5006433808661701E-3</v>
      </c>
      <c r="I93">
        <v>6.7122346735000605E-3</v>
      </c>
      <c r="J93">
        <v>8.3365513072133091E-5</v>
      </c>
      <c r="K93">
        <v>4.2578994321823115E-3</v>
      </c>
      <c r="L93">
        <v>6.0000000000000001E-3</v>
      </c>
      <c r="M93">
        <v>1.4999999999999999E-2</v>
      </c>
      <c r="N93">
        <v>78.366877524710972</v>
      </c>
      <c r="O93">
        <v>45.005520656508715</v>
      </c>
      <c r="P93">
        <v>2</v>
      </c>
      <c r="Q93" t="s">
        <v>39</v>
      </c>
      <c r="R93">
        <v>18011.249708255225</v>
      </c>
      <c r="S93">
        <v>20218.648019649303</v>
      </c>
      <c r="T9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0.66688730433603305</v>
      </c>
      <c r="U93">
        <f>Tableau1[[#This Row],[S2]]/Tableau1[[#This Row],[S1]]*SQRT(Tableau1[[#This Row],[rho1]]/Tableau1[[#This Row],[rho2]])*Tableau1[[#This Row],[J]]^(1/2)*Tableau1[[#This Row],[d2]]/Tableau1[[#This Row],[d1]]</f>
        <v>4.3844088417473985</v>
      </c>
      <c r="V93">
        <v>0.47852674359420871</v>
      </c>
      <c r="W93">
        <v>0.3439586902696648</v>
      </c>
      <c r="X93">
        <v>0.67725554873521177</v>
      </c>
      <c r="Y93">
        <v>1.1794664292299073</v>
      </c>
      <c r="Z93">
        <v>16.560072878272845</v>
      </c>
      <c r="AA93">
        <v>28.84</v>
      </c>
      <c r="AB93">
        <f>Tableau1[[#This Row],[u2]]/Tableau1[[#This Row],[u1]]</f>
        <v>0.57429263584372603</v>
      </c>
      <c r="AC93">
        <f>ABS(Tableau1[[#This Row],[u2]]-Tableau1[[#This Row],[u1]])</f>
        <v>33.361356868202257</v>
      </c>
      <c r="AD93">
        <f>(Tableau1[[#This Row],[d1]]+0.002)/Tableau1[[#This Row],[d2]]</f>
        <v>0.53333333333333333</v>
      </c>
      <c r="AE93">
        <f>Tableau1[[#This Row],[S2]]*Tableau1[[#This Row],[u2]]/(Tableau1[[#This Row],[S1]]*Tableau1[[#This Row],[u1]])*(1-Tableau1[[#This Row],[ALPHA]]^3)/(1-Tableau1[[#This Row],[ALPHA]]^4)</f>
        <v>1.6186759888142197</v>
      </c>
      <c r="AF93">
        <v>1</v>
      </c>
      <c r="AG93" t="s">
        <v>40</v>
      </c>
      <c r="AH93" t="s">
        <v>47</v>
      </c>
      <c r="AI93" t="s">
        <v>42</v>
      </c>
      <c r="AJ93" t="s">
        <v>43</v>
      </c>
      <c r="AK93" t="s">
        <v>44</v>
      </c>
      <c r="AL93" t="s">
        <v>44</v>
      </c>
      <c r="AM93" t="s">
        <v>44</v>
      </c>
    </row>
    <row r="94" spans="1:39" x14ac:dyDescent="0.25">
      <c r="A94" t="s">
        <v>69</v>
      </c>
      <c r="B94">
        <v>9.9948304490573356</v>
      </c>
      <c r="C94">
        <v>0.56835741485535307</v>
      </c>
      <c r="D94">
        <v>0.35107482474235291</v>
      </c>
      <c r="E94">
        <v>2.0038365635384801</v>
      </c>
      <c r="F94">
        <v>0.59587679629710499</v>
      </c>
      <c r="G94">
        <v>0</v>
      </c>
      <c r="H94">
        <v>1.5037701014221946E-3</v>
      </c>
      <c r="I94">
        <v>6.6870896911621104E-3</v>
      </c>
      <c r="J94">
        <v>8.3318026417617E-5</v>
      </c>
      <c r="K94">
        <v>0</v>
      </c>
      <c r="L94">
        <v>6.0000000000000001E-3</v>
      </c>
      <c r="M94">
        <v>1.4999999999999999E-2</v>
      </c>
      <c r="N94">
        <v>78.441628918819873</v>
      </c>
      <c r="O94">
        <v>44.836923597993163</v>
      </c>
      <c r="P94">
        <v>2</v>
      </c>
      <c r="Q94" t="s">
        <v>39</v>
      </c>
      <c r="R94">
        <v>18046.207779221069</v>
      </c>
      <c r="S94">
        <v>20142.906098801614</v>
      </c>
      <c r="T9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6.7296100322471408E-2</v>
      </c>
      <c r="U94">
        <f>Tableau1[[#This Row],[S2]]/Tableau1[[#This Row],[S1]]*SQRT(Tableau1[[#This Row],[rho1]]/Tableau1[[#This Row],[rho2]])*Tableau1[[#This Row],[J]]^(1/2)*Tableau1[[#This Row],[d2]]/Tableau1[[#This Row],[d1]]</f>
        <v>0</v>
      </c>
      <c r="V94">
        <v>0.47890685165710917</v>
      </c>
      <c r="W94">
        <v>0.3445571840085892</v>
      </c>
      <c r="X94">
        <v>0.6780199301312626</v>
      </c>
      <c r="Y94">
        <v>1.1794664292299071</v>
      </c>
      <c r="Z94">
        <v>16.578763329239305</v>
      </c>
      <c r="AA94">
        <v>28.839999999999996</v>
      </c>
      <c r="AB94">
        <f>Tableau1[[#This Row],[u2]]/Tableau1[[#This Row],[u1]]</f>
        <v>0.57159602899622852</v>
      </c>
      <c r="AC94">
        <f>ABS(Tableau1[[#This Row],[u2]]-Tableau1[[#This Row],[u1]])</f>
        <v>33.60470532082671</v>
      </c>
      <c r="AD94">
        <f>(Tableau1[[#This Row],[d1]]+0.002)/Tableau1[[#This Row],[d2]]</f>
        <v>0.53333333333333333</v>
      </c>
      <c r="AE94">
        <f>Tableau1[[#This Row],[S2]]*Tableau1[[#This Row],[u2]]/(Tableau1[[#This Row],[S1]]*Tableau1[[#This Row],[u1]])*(1-Tableau1[[#This Row],[ALPHA]]^3)/(1-Tableau1[[#This Row],[ALPHA]]^4)</f>
        <v>0</v>
      </c>
      <c r="AF94">
        <v>0</v>
      </c>
      <c r="AG94" t="s">
        <v>53</v>
      </c>
      <c r="AH94" t="s">
        <v>61</v>
      </c>
      <c r="AI94" t="s">
        <v>42</v>
      </c>
      <c r="AJ94" t="s">
        <v>43</v>
      </c>
      <c r="AK94" t="s">
        <v>44</v>
      </c>
      <c r="AL94" t="s">
        <v>44</v>
      </c>
      <c r="AM94" t="s">
        <v>44</v>
      </c>
    </row>
    <row r="95" spans="1:39" x14ac:dyDescent="0.25">
      <c r="A95" t="s">
        <v>70</v>
      </c>
      <c r="B95">
        <v>9.9920079108994475</v>
      </c>
      <c r="C95">
        <v>0.566458982174884</v>
      </c>
      <c r="D95">
        <v>0.35155100201813977</v>
      </c>
      <c r="E95">
        <v>2.0037751315081729</v>
      </c>
      <c r="F95">
        <v>0.59587679629710499</v>
      </c>
      <c r="G95">
        <v>0.83665086217706264</v>
      </c>
      <c r="H95">
        <v>1.5033889731694578E-3</v>
      </c>
      <c r="I95">
        <v>6.6741791248321521E-3</v>
      </c>
      <c r="J95">
        <v>8.3294497423303155E-5</v>
      </c>
      <c r="K95">
        <v>4.0181229639053339E-3</v>
      </c>
      <c r="L95">
        <v>6.0000000000000001E-3</v>
      </c>
      <c r="M95">
        <v>1.4999999999999999E-2</v>
      </c>
      <c r="N95">
        <v>78.420782503075287</v>
      </c>
      <c r="O95">
        <v>44.750358275427175</v>
      </c>
      <c r="P95">
        <v>2</v>
      </c>
      <c r="Q95" t="s">
        <v>39</v>
      </c>
      <c r="R95">
        <v>18041.605982477802</v>
      </c>
      <c r="S95">
        <v>20104.016785620974</v>
      </c>
      <c r="T9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0.6673204945668838</v>
      </c>
      <c r="U95">
        <f>Tableau1[[#This Row],[S2]]/Tableau1[[#This Row],[S1]]*SQRT(Tableau1[[#This Row],[rho1]]/Tableau1[[#This Row],[rho2]])*Tableau1[[#This Row],[J]]^(1/2)*Tableau1[[#This Row],[d2]]/Tableau1[[#This Row],[d1]]</f>
        <v>2.0030562374895617</v>
      </c>
      <c r="V95">
        <v>0.47891100608143827</v>
      </c>
      <c r="W95">
        <v>0.34456372408481156</v>
      </c>
      <c r="X95">
        <v>0.67802827780133101</v>
      </c>
      <c r="Y95">
        <v>1.1794664292299075</v>
      </c>
      <c r="Z95">
        <v>16.57896744425166</v>
      </c>
      <c r="AA95">
        <v>28.840000000000003</v>
      </c>
      <c r="AB95">
        <f>Tableau1[[#This Row],[u2]]/Tableau1[[#This Row],[u1]]</f>
        <v>0.57064411814141591</v>
      </c>
      <c r="AC95">
        <f>ABS(Tableau1[[#This Row],[u2]]-Tableau1[[#This Row],[u1]])</f>
        <v>33.670424227648112</v>
      </c>
      <c r="AD95">
        <f>(Tableau1[[#This Row],[d1]]+0.002)/Tableau1[[#This Row],[d2]]</f>
        <v>0.53333333333333333</v>
      </c>
      <c r="AE95">
        <f>Tableau1[[#This Row],[S2]]*Tableau1[[#This Row],[u2]]/(Tableau1[[#This Row],[S1]]*Tableau1[[#This Row],[u1]])*(1-Tableau1[[#This Row],[ALPHA]]^3)/(1-Tableau1[[#This Row],[ALPHA]]^4)</f>
        <v>0.73950654532862703</v>
      </c>
      <c r="AF95">
        <v>0</v>
      </c>
      <c r="AG95" t="s">
        <v>58</v>
      </c>
      <c r="AH95" t="s">
        <v>59</v>
      </c>
      <c r="AI95" t="s">
        <v>42</v>
      </c>
      <c r="AJ95" t="s">
        <v>43</v>
      </c>
      <c r="AK95" t="s">
        <v>44</v>
      </c>
      <c r="AL95" t="s">
        <v>44</v>
      </c>
      <c r="AM95" t="s">
        <v>44</v>
      </c>
    </row>
    <row r="96" spans="1:39" x14ac:dyDescent="0.25">
      <c r="A96" t="s">
        <v>71</v>
      </c>
      <c r="B96">
        <v>9.9933620435784327</v>
      </c>
      <c r="C96">
        <v>0.57113064361643973</v>
      </c>
      <c r="D96">
        <v>0.35040122096746362</v>
      </c>
      <c r="E96">
        <v>2.0040582874103898</v>
      </c>
      <c r="F96">
        <v>0.59587679629710499</v>
      </c>
      <c r="G96">
        <v>0.97583940239653488</v>
      </c>
      <c r="H96">
        <v>1.5033920406985761E-3</v>
      </c>
      <c r="I96">
        <v>6.7018478536605827E-3</v>
      </c>
      <c r="J96">
        <v>8.3305785625028617E-5</v>
      </c>
      <c r="K96">
        <v>4.7060226821899406E-3</v>
      </c>
      <c r="L96">
        <v>6.0000000000000001E-3</v>
      </c>
      <c r="M96">
        <v>1.4999999999999999E-2</v>
      </c>
      <c r="N96">
        <v>78.425392748744713</v>
      </c>
      <c r="O96">
        <v>44.935877049337677</v>
      </c>
      <c r="P96">
        <v>2</v>
      </c>
      <c r="Q96" t="s">
        <v>39</v>
      </c>
      <c r="R96">
        <v>18041.771914562196</v>
      </c>
      <c r="S96">
        <v>20187.360756227627</v>
      </c>
      <c r="T9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0.76834295339143832</v>
      </c>
      <c r="U96">
        <f>Tableau1[[#This Row],[S2]]/Tableau1[[#This Row],[S1]]*SQRT(Tableau1[[#This Row],[rho1]]/Tableau1[[#This Row],[rho2]])*Tableau1[[#This Row],[J]]^(1/2)*Tableau1[[#This Row],[d2]]/Tableau1[[#This Row],[d1]]</f>
        <v>2.3458400945786275</v>
      </c>
      <c r="V96">
        <v>0.47889185884738328</v>
      </c>
      <c r="W96">
        <v>0.34453358145453905</v>
      </c>
      <c r="X96">
        <v>0.67798980320558677</v>
      </c>
      <c r="Y96">
        <v>1.1794664292299073</v>
      </c>
      <c r="Z96">
        <v>16.578026673650847</v>
      </c>
      <c r="AA96">
        <v>28.84</v>
      </c>
      <c r="AB96">
        <f>Tableau1[[#This Row],[u2]]/Tableau1[[#This Row],[u1]]</f>
        <v>0.57297611748405208</v>
      </c>
      <c r="AC96">
        <f>ABS(Tableau1[[#This Row],[u2]]-Tableau1[[#This Row],[u1]])</f>
        <v>33.489515699407036</v>
      </c>
      <c r="AD96">
        <f>(Tableau1[[#This Row],[d1]]+0.002)/Tableau1[[#This Row],[d2]]</f>
        <v>0.53333333333333333</v>
      </c>
      <c r="AE96">
        <f>Tableau1[[#This Row],[S2]]*Tableau1[[#This Row],[u2]]/(Tableau1[[#This Row],[S1]]*Tableau1[[#This Row],[u1]])*(1-Tableau1[[#This Row],[ALPHA]]^3)/(1-Tableau1[[#This Row],[ALPHA]]^4)</f>
        <v>0.86605861171896381</v>
      </c>
      <c r="AF96">
        <v>0</v>
      </c>
      <c r="AG96" t="s">
        <v>58</v>
      </c>
      <c r="AH96" t="s">
        <v>59</v>
      </c>
      <c r="AI96" t="s">
        <v>42</v>
      </c>
      <c r="AJ96" t="s">
        <v>43</v>
      </c>
      <c r="AK96" t="s">
        <v>44</v>
      </c>
      <c r="AL96" t="s">
        <v>44</v>
      </c>
      <c r="AM96" t="s">
        <v>44</v>
      </c>
    </row>
    <row r="97" spans="1:39" x14ac:dyDescent="0.25">
      <c r="A97" t="s">
        <v>72</v>
      </c>
      <c r="B97">
        <v>10.017667868120286</v>
      </c>
      <c r="C97">
        <v>0.56383451896229353</v>
      </c>
      <c r="D97">
        <v>0.35208084712807097</v>
      </c>
      <c r="E97">
        <v>2.0027386909418059</v>
      </c>
      <c r="F97">
        <v>0.86602540378443837</v>
      </c>
      <c r="G97">
        <v>0</v>
      </c>
      <c r="H97">
        <v>1.5079865511156321E-3</v>
      </c>
      <c r="I97">
        <v>6.6783696126937863E-3</v>
      </c>
      <c r="J97">
        <v>8.3508401701569578E-5</v>
      </c>
      <c r="K97">
        <v>0</v>
      </c>
      <c r="L97">
        <v>6.0000000000000001E-3</v>
      </c>
      <c r="M97">
        <v>1.4999999999999999E-2</v>
      </c>
      <c r="N97">
        <v>78.644264790716704</v>
      </c>
      <c r="O97">
        <v>44.778455488530014</v>
      </c>
      <c r="P97">
        <v>2</v>
      </c>
      <c r="Q97" t="s">
        <v>39</v>
      </c>
      <c r="R97">
        <v>18096.305760654235</v>
      </c>
      <c r="S97">
        <v>20116.639407329876</v>
      </c>
      <c r="T9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9.8367453425501433E-2</v>
      </c>
      <c r="U97">
        <f>Tableau1[[#This Row],[S2]]/Tableau1[[#This Row],[S1]]*SQRT(Tableau1[[#This Row],[rho1]]/Tableau1[[#This Row],[rho2]])*Tableau1[[#This Row],[J]]^(1/2)*Tableau1[[#This Row],[d2]]/Tableau1[[#This Row],[d1]]</f>
        <v>0</v>
      </c>
      <c r="V97">
        <v>0.47898112520669822</v>
      </c>
      <c r="W97">
        <v>0.34467410471636051</v>
      </c>
      <c r="X97">
        <v>0.67816914943888873</v>
      </c>
      <c r="Y97">
        <v>1.1794664292299073</v>
      </c>
      <c r="Z97">
        <v>16.582412000134287</v>
      </c>
      <c r="AA97">
        <v>28.84</v>
      </c>
      <c r="AB97">
        <f>Tableau1[[#This Row],[u2]]/Tableau1[[#This Row],[u1]]</f>
        <v>0.56937979657755966</v>
      </c>
      <c r="AC97">
        <f>ABS(Tableau1[[#This Row],[u2]]-Tableau1[[#This Row],[u1]])</f>
        <v>33.86580930218669</v>
      </c>
      <c r="AD97">
        <f>(Tableau1[[#This Row],[d1]]+0.002)/Tableau1[[#This Row],[d2]]</f>
        <v>0.53333333333333333</v>
      </c>
      <c r="AE97">
        <f>Tableau1[[#This Row],[S2]]*Tableau1[[#This Row],[u2]]/(Tableau1[[#This Row],[S1]]*Tableau1[[#This Row],[u1]])*(1-Tableau1[[#This Row],[ALPHA]]^3)/(1-Tableau1[[#This Row],[ALPHA]]^4)</f>
        <v>0</v>
      </c>
      <c r="AF97">
        <v>0</v>
      </c>
      <c r="AG97" t="s">
        <v>53</v>
      </c>
      <c r="AH97" t="s">
        <v>61</v>
      </c>
      <c r="AI97" t="s">
        <v>42</v>
      </c>
      <c r="AJ97" t="s">
        <v>43</v>
      </c>
      <c r="AK97" t="s">
        <v>44</v>
      </c>
      <c r="AL97" t="s">
        <v>44</v>
      </c>
      <c r="AM97" t="s">
        <v>44</v>
      </c>
    </row>
    <row r="98" spans="1:39" x14ac:dyDescent="0.25">
      <c r="A98" t="s">
        <v>73</v>
      </c>
      <c r="B98">
        <v>10.014205402282871</v>
      </c>
      <c r="C98">
        <v>0.57327648068532688</v>
      </c>
      <c r="D98">
        <v>0.3497121349810639</v>
      </c>
      <c r="E98">
        <v>2.0029885521946378</v>
      </c>
      <c r="F98">
        <v>0.86602540378443837</v>
      </c>
      <c r="G98">
        <v>0.82280772294081872</v>
      </c>
      <c r="H98">
        <v>1.5072877027949808E-3</v>
      </c>
      <c r="I98">
        <v>6.7311031723022476E-3</v>
      </c>
      <c r="J98">
        <v>8.34795381984234E-5</v>
      </c>
      <c r="K98">
        <v>3.9853430318832397E-3</v>
      </c>
      <c r="L98">
        <v>6.0000000000000001E-3</v>
      </c>
      <c r="M98">
        <v>1.4999999999999999E-2</v>
      </c>
      <c r="N98">
        <v>78.611755931879202</v>
      </c>
      <c r="O98">
        <v>45.132033904913399</v>
      </c>
      <c r="P98">
        <v>2</v>
      </c>
      <c r="Q98" t="s">
        <v>39</v>
      </c>
      <c r="R98">
        <v>18088.033582586344</v>
      </c>
      <c r="S98">
        <v>20275.483865607835</v>
      </c>
      <c r="T9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0.68913161528941991</v>
      </c>
      <c r="U98">
        <f>Tableau1[[#This Row],[S2]]/Tableau1[[#This Row],[S1]]*SQRT(Tableau1[[#This Row],[rho1]]/Tableau1[[#This Row],[rho2]])*Tableau1[[#This Row],[J]]^(1/2)*Tableau1[[#This Row],[d2]]/Tableau1[[#This Row],[d1]]</f>
        <v>1.3636569961823422</v>
      </c>
      <c r="V98">
        <v>0.47896421623623331</v>
      </c>
      <c r="W98">
        <v>0.3446474875147254</v>
      </c>
      <c r="X98">
        <v>0.67813518253293903</v>
      </c>
      <c r="Y98">
        <v>1.1794664292299073</v>
      </c>
      <c r="Z98">
        <v>16.581581450367615</v>
      </c>
      <c r="AA98">
        <v>28.84</v>
      </c>
      <c r="AB98">
        <f>Tableau1[[#This Row],[u2]]/Tableau1[[#This Row],[u1]]</f>
        <v>0.57411303652881684</v>
      </c>
      <c r="AC98">
        <f>ABS(Tableau1[[#This Row],[u2]]-Tableau1[[#This Row],[u1]])</f>
        <v>33.479722026965803</v>
      </c>
      <c r="AD98">
        <f>(Tableau1[[#This Row],[d1]]+0.002)/Tableau1[[#This Row],[d2]]</f>
        <v>0.53333333333333333</v>
      </c>
      <c r="AE98">
        <f>Tableau1[[#This Row],[S2]]*Tableau1[[#This Row],[u2]]/(Tableau1[[#This Row],[S1]]*Tableau1[[#This Row],[u1]])*(1-Tableau1[[#This Row],[ALPHA]]^3)/(1-Tableau1[[#This Row],[ALPHA]]^4)</f>
        <v>0.5034473098588037</v>
      </c>
      <c r="AF98">
        <v>0</v>
      </c>
      <c r="AG98" t="s">
        <v>53</v>
      </c>
      <c r="AH98" t="s">
        <v>61</v>
      </c>
      <c r="AI98" t="s">
        <v>42</v>
      </c>
      <c r="AJ98" t="s">
        <v>43</v>
      </c>
      <c r="AK98" t="s">
        <v>44</v>
      </c>
      <c r="AL98" t="s">
        <v>44</v>
      </c>
      <c r="AM98" t="s">
        <v>44</v>
      </c>
    </row>
    <row r="99" spans="1:39" x14ac:dyDescent="0.25">
      <c r="A99" t="s">
        <v>74</v>
      </c>
      <c r="B99">
        <v>10.014988170962287</v>
      </c>
      <c r="C99">
        <v>0.57646851271964328</v>
      </c>
      <c r="D99">
        <v>0.34889326409874616</v>
      </c>
      <c r="E99">
        <v>2.0028560191083189</v>
      </c>
      <c r="F99">
        <v>0.86602540378443837</v>
      </c>
      <c r="G99">
        <v>0.99718804956071905</v>
      </c>
      <c r="H99">
        <v>1.5074997448575773E-3</v>
      </c>
      <c r="I99">
        <v>6.7506765937805175E-3</v>
      </c>
      <c r="J99">
        <v>8.3486063445834327E-5</v>
      </c>
      <c r="K99">
        <v>4.8440148925781249E-3</v>
      </c>
      <c r="L99">
        <v>6.0000000000000001E-3</v>
      </c>
      <c r="M99">
        <v>1.4999999999999999E-2</v>
      </c>
      <c r="N99">
        <v>78.620726098704139</v>
      </c>
      <c r="O99">
        <v>45.263273658513896</v>
      </c>
      <c r="P99">
        <v>2</v>
      </c>
      <c r="Q99" t="s">
        <v>39</v>
      </c>
      <c r="R99">
        <v>18090.517575721951</v>
      </c>
      <c r="S99">
        <v>20334.443085399689</v>
      </c>
      <c r="T9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0.81530974986289206</v>
      </c>
      <c r="U99">
        <f>Tableau1[[#This Row],[S2]]/Tableau1[[#This Row],[S1]]*SQRT(Tableau1[[#This Row],[rho1]]/Tableau1[[#This Row],[rho2]])*Tableau1[[#This Row],[J]]^(1/2)*Tableau1[[#This Row],[d2]]/Tableau1[[#This Row],[d1]]</f>
        <v>1.6572779525963175</v>
      </c>
      <c r="V99">
        <v>0.47897318481735285</v>
      </c>
      <c r="W99">
        <v>0.34466160543205177</v>
      </c>
      <c r="X99">
        <v>0.67815319900545223</v>
      </c>
      <c r="Y99">
        <v>1.1794664292299073</v>
      </c>
      <c r="Z99">
        <v>16.582021984370456</v>
      </c>
      <c r="AA99">
        <v>28.84</v>
      </c>
      <c r="AB99">
        <f>Tableau1[[#This Row],[u2]]/Tableau1[[#This Row],[u1]]</f>
        <v>0.5757168103699305</v>
      </c>
      <c r="AC99">
        <f>ABS(Tableau1[[#This Row],[u2]]-Tableau1[[#This Row],[u1]])</f>
        <v>33.357452440190244</v>
      </c>
      <c r="AD99">
        <f>(Tableau1[[#This Row],[d1]]+0.002)/Tableau1[[#This Row],[d2]]</f>
        <v>0.53333333333333333</v>
      </c>
      <c r="AE99">
        <f>Tableau1[[#This Row],[S2]]*Tableau1[[#This Row],[u2]]/(Tableau1[[#This Row],[S1]]*Tableau1[[#This Row],[u1]])*(1-Tableau1[[#This Row],[ALPHA]]^3)/(1-Tableau1[[#This Row],[ALPHA]]^4)</f>
        <v>0.61184896880869022</v>
      </c>
      <c r="AF99">
        <v>0</v>
      </c>
      <c r="AG99" t="s">
        <v>58</v>
      </c>
      <c r="AH99" t="s">
        <v>59</v>
      </c>
      <c r="AI99" t="s">
        <v>42</v>
      </c>
      <c r="AJ99" t="s">
        <v>43</v>
      </c>
      <c r="AK99" t="s">
        <v>44</v>
      </c>
      <c r="AL99" t="s">
        <v>44</v>
      </c>
      <c r="AM99" t="s">
        <v>44</v>
      </c>
    </row>
    <row r="100" spans="1:39" x14ac:dyDescent="0.25">
      <c r="A100" t="s">
        <v>75</v>
      </c>
      <c r="B100">
        <v>10.074735704397675</v>
      </c>
      <c r="C100">
        <v>0.56384663081456099</v>
      </c>
      <c r="D100">
        <v>0.35209108331010308</v>
      </c>
      <c r="E100">
        <v>2.002834971844635</v>
      </c>
      <c r="F100">
        <v>-0.28867513459481298</v>
      </c>
      <c r="G100">
        <v>0</v>
      </c>
      <c r="H100">
        <v>1.5165082583070836E-3</v>
      </c>
      <c r="I100">
        <v>6.7162463617324846E-3</v>
      </c>
      <c r="J100">
        <v>8.3984125578506796E-5</v>
      </c>
      <c r="K100">
        <v>0</v>
      </c>
      <c r="L100">
        <v>6.0000000000000001E-3</v>
      </c>
      <c r="M100">
        <v>1.4999999999999999E-2</v>
      </c>
      <c r="N100">
        <v>79.090213953655791</v>
      </c>
      <c r="O100">
        <v>45.032419018439441</v>
      </c>
      <c r="P100">
        <v>2</v>
      </c>
      <c r="Q100" t="s">
        <v>39</v>
      </c>
      <c r="R100">
        <v>18198.613168236629</v>
      </c>
      <c r="S100">
        <v>20230.732059657035</v>
      </c>
      <c r="T10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-3.2788646807843366E-2</v>
      </c>
      <c r="U100">
        <f>Tableau1[[#This Row],[S2]]/Tableau1[[#This Row],[S1]]*SQRT(Tableau1[[#This Row],[rho1]]/Tableau1[[#This Row],[rho2]])*Tableau1[[#This Row],[J]]^(1/2)*Tableau1[[#This Row],[d2]]/Tableau1[[#This Row],[d1]]</f>
        <v>0</v>
      </c>
      <c r="V100">
        <v>0.47897460917715701</v>
      </c>
      <c r="W100">
        <v>0.34466384758081547</v>
      </c>
      <c r="X100">
        <v>0.67815606025876529</v>
      </c>
      <c r="Y100">
        <v>1.1794664292299071</v>
      </c>
      <c r="Z100">
        <v>16.582091946976853</v>
      </c>
      <c r="AA100">
        <v>28.839999999999996</v>
      </c>
      <c r="AB100">
        <f>Tableau1[[#This Row],[u2]]/Tableau1[[#This Row],[u1]]</f>
        <v>0.56938041721352439</v>
      </c>
      <c r="AC100">
        <f>ABS(Tableau1[[#This Row],[u2]]-Tableau1[[#This Row],[u1]])</f>
        <v>34.05779493521635</v>
      </c>
      <c r="AD100">
        <f>(Tableau1[[#This Row],[d1]]+0.002)/Tableau1[[#This Row],[d2]]</f>
        <v>0.53333333333333333</v>
      </c>
      <c r="AE100">
        <f>Tableau1[[#This Row],[S2]]*Tableau1[[#This Row],[u2]]/(Tableau1[[#This Row],[S1]]*Tableau1[[#This Row],[u1]])*(1-Tableau1[[#This Row],[ALPHA]]^3)/(1-Tableau1[[#This Row],[ALPHA]]^4)</f>
        <v>0</v>
      </c>
      <c r="AF100">
        <v>1</v>
      </c>
      <c r="AG100" t="s">
        <v>40</v>
      </c>
      <c r="AH100" t="s">
        <v>41</v>
      </c>
      <c r="AI100" t="s">
        <v>42</v>
      </c>
      <c r="AJ100" t="s">
        <v>43</v>
      </c>
      <c r="AK100" t="s">
        <v>44</v>
      </c>
      <c r="AL100" t="s">
        <v>44</v>
      </c>
      <c r="AM100" t="s">
        <v>44</v>
      </c>
    </row>
    <row r="101" spans="1:39" x14ac:dyDescent="0.25">
      <c r="A101" t="s">
        <v>76</v>
      </c>
      <c r="B101">
        <v>10.072775925879137</v>
      </c>
      <c r="C101">
        <v>0.56533669905407991</v>
      </c>
      <c r="D101">
        <v>0.35195069424305259</v>
      </c>
      <c r="E101">
        <v>2.0045850227071149</v>
      </c>
      <c r="F101">
        <v>-0.28867513500000003</v>
      </c>
      <c r="G101">
        <v>0.81136260194043919</v>
      </c>
      <c r="H101">
        <v>1.5149628762688042E-3</v>
      </c>
      <c r="I101">
        <v>6.7194400930404661E-3</v>
      </c>
      <c r="J101">
        <v>8.3967788645207886E-5</v>
      </c>
      <c r="K101">
        <v>3.9230981540679926E-3</v>
      </c>
      <c r="L101">
        <v>6.0000000000000001E-3</v>
      </c>
      <c r="M101">
        <v>1.4999999999999999E-2</v>
      </c>
      <c r="N101">
        <v>79.037334666677111</v>
      </c>
      <c r="O101">
        <v>45.053832980755182</v>
      </c>
      <c r="P101">
        <v>2</v>
      </c>
      <c r="Q101" t="s">
        <v>39</v>
      </c>
      <c r="R101">
        <v>18180.872209804242</v>
      </c>
      <c r="S101">
        <v>20240.352243146808</v>
      </c>
      <c r="T10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0.548678115118716</v>
      </c>
      <c r="U101">
        <f>Tableau1[[#This Row],[S2]]/Tableau1[[#This Row],[S1]]*SQRT(Tableau1[[#This Row],[rho1]]/Tableau1[[#This Row],[rho2]])*Tableau1[[#This Row],[J]]^(1/2)*Tableau1[[#This Row],[d2]]/Tableau1[[#This Row],[d1]]</f>
        <v>-4.0053924551255156</v>
      </c>
      <c r="V101">
        <v>0.47885625122444037</v>
      </c>
      <c r="W101">
        <v>0.34447752449183056</v>
      </c>
      <c r="X101">
        <v>0.67791824479951612</v>
      </c>
      <c r="Y101">
        <v>1.1794664292299073</v>
      </c>
      <c r="Z101">
        <v>16.5762769465031</v>
      </c>
      <c r="AA101">
        <v>28.84</v>
      </c>
      <c r="AB101">
        <f>Tableau1[[#This Row],[u2]]/Tableau1[[#This Row],[u1]]</f>
        <v>0.57003229133117905</v>
      </c>
      <c r="AC101">
        <f>ABS(Tableau1[[#This Row],[u2]]-Tableau1[[#This Row],[u1]])</f>
        <v>33.983501685921929</v>
      </c>
      <c r="AD101">
        <f>(Tableau1[[#This Row],[d1]]+0.002)/Tableau1[[#This Row],[d2]]</f>
        <v>0.53333333333333333</v>
      </c>
      <c r="AE101">
        <f>Tableau1[[#This Row],[S2]]*Tableau1[[#This Row],[u2]]/(Tableau1[[#This Row],[S1]]*Tableau1[[#This Row],[u1]])*(1-Tableau1[[#This Row],[ALPHA]]^3)/(1-Tableau1[[#This Row],[ALPHA]]^4)</f>
        <v>-1.4787472671698534</v>
      </c>
      <c r="AF101">
        <v>1</v>
      </c>
      <c r="AG101" t="s">
        <v>40</v>
      </c>
      <c r="AH101" t="s">
        <v>47</v>
      </c>
      <c r="AI101" t="s">
        <v>42</v>
      </c>
      <c r="AJ101" t="s">
        <v>43</v>
      </c>
      <c r="AK101" t="s">
        <v>44</v>
      </c>
      <c r="AL101" t="s">
        <v>44</v>
      </c>
      <c r="AM101" t="s">
        <v>44</v>
      </c>
    </row>
    <row r="102" spans="1:39" x14ac:dyDescent="0.25">
      <c r="A102" t="s">
        <v>77</v>
      </c>
      <c r="B102">
        <v>10.078580984114806</v>
      </c>
      <c r="C102">
        <v>0.58619191585117791</v>
      </c>
      <c r="D102">
        <v>0.3505148025277659</v>
      </c>
      <c r="E102">
        <v>2.0324547306637255</v>
      </c>
      <c r="F102">
        <v>-0.59587679629710499</v>
      </c>
      <c r="G102">
        <v>0</v>
      </c>
      <c r="H102">
        <v>1.4962023689588586E-3</v>
      </c>
      <c r="I102">
        <v>6.7763538646697982E-3</v>
      </c>
      <c r="J102">
        <v>8.4016180261043725E-5</v>
      </c>
      <c r="K102">
        <v>0</v>
      </c>
      <c r="L102">
        <v>6.0000000000000001E-3</v>
      </c>
      <c r="M102">
        <v>1.4999999999999999E-2</v>
      </c>
      <c r="N102">
        <v>78.494146991690414</v>
      </c>
      <c r="O102">
        <v>45.435439710748746</v>
      </c>
      <c r="P102">
        <v>2</v>
      </c>
      <c r="Q102" t="s">
        <v>39</v>
      </c>
      <c r="R102">
        <v>17968.399484055026</v>
      </c>
      <c r="S102">
        <v>20411.78837016234</v>
      </c>
      <c r="T10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-6.5814005153948155E-2</v>
      </c>
      <c r="U102">
        <f>Tableau1[[#This Row],[S2]]/Tableau1[[#This Row],[S1]]*SQRT(Tableau1[[#This Row],[rho1]]/Tableau1[[#This Row],[rho2]])*Tableau1[[#This Row],[J]]^(1/2)*Tableau1[[#This Row],[d2]]/Tableau1[[#This Row],[d1]]</f>
        <v>0</v>
      </c>
      <c r="V102">
        <v>0.47699179112574402</v>
      </c>
      <c r="W102">
        <v>0.34153961622616197</v>
      </c>
      <c r="X102">
        <v>0.67415643079962506</v>
      </c>
      <c r="Y102">
        <v>1.1794664292299073</v>
      </c>
      <c r="Z102">
        <v>16.48429406927302</v>
      </c>
      <c r="AA102">
        <v>28.84</v>
      </c>
      <c r="AB102">
        <f>Tableau1[[#This Row],[u2]]/Tableau1[[#This Row],[u1]]</f>
        <v>0.57883856888792806</v>
      </c>
      <c r="AC102">
        <f>ABS(Tableau1[[#This Row],[u2]]-Tableau1[[#This Row],[u1]])</f>
        <v>33.058707280941668</v>
      </c>
      <c r="AD102">
        <f>(Tableau1[[#This Row],[d1]]+0.002)/Tableau1[[#This Row],[d2]]</f>
        <v>0.53333333333333333</v>
      </c>
      <c r="AE102">
        <f>Tableau1[[#This Row],[S2]]*Tableau1[[#This Row],[u2]]/(Tableau1[[#This Row],[S1]]*Tableau1[[#This Row],[u1]])*(1-Tableau1[[#This Row],[ALPHA]]^3)/(1-Tableau1[[#This Row],[ALPHA]]^4)</f>
        <v>0</v>
      </c>
      <c r="AF102">
        <v>0</v>
      </c>
      <c r="AG102" t="s">
        <v>53</v>
      </c>
      <c r="AH102" t="s">
        <v>61</v>
      </c>
      <c r="AI102" t="s">
        <v>42</v>
      </c>
      <c r="AJ102" t="s">
        <v>43</v>
      </c>
      <c r="AK102" t="s">
        <v>44</v>
      </c>
      <c r="AL102" t="s">
        <v>44</v>
      </c>
      <c r="AM102" t="s">
        <v>44</v>
      </c>
    </row>
    <row r="103" spans="1:39" x14ac:dyDescent="0.25">
      <c r="A103" t="s">
        <v>78</v>
      </c>
      <c r="B103">
        <v>10.077489678875619</v>
      </c>
      <c r="C103">
        <v>0.5778950815658076</v>
      </c>
      <c r="D103">
        <v>0.35258891434748502</v>
      </c>
      <c r="E103">
        <v>2.0324683289601868</v>
      </c>
      <c r="F103">
        <v>-0.59587679629710499</v>
      </c>
      <c r="G103">
        <v>0.98192305128607271</v>
      </c>
      <c r="H103">
        <v>1.4960309134321214E-3</v>
      </c>
      <c r="I103">
        <v>6.7274655246734637E-3</v>
      </c>
      <c r="J103">
        <v>8.4007083018302936E-5</v>
      </c>
      <c r="K103">
        <v>4.7534621286392225E-3</v>
      </c>
      <c r="L103">
        <v>6.0000000000000001E-3</v>
      </c>
      <c r="M103">
        <v>1.4999999999999999E-2</v>
      </c>
      <c r="N103">
        <v>78.485364385111595</v>
      </c>
      <c r="O103">
        <v>45.107643484515158</v>
      </c>
      <c r="P103">
        <v>2</v>
      </c>
      <c r="Q103" t="s">
        <v>39</v>
      </c>
      <c r="R103">
        <v>17966.346607920048</v>
      </c>
      <c r="S103">
        <v>20264.526513756558</v>
      </c>
      <c r="T10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0.64149001913939108</v>
      </c>
      <c r="U103">
        <f>Tableau1[[#This Row],[S2]]/Tableau1[[#This Row],[S1]]*SQRT(Tableau1[[#This Row],[rho1]]/Tableau1[[#This Row],[rho2]])*Tableau1[[#This Row],[J]]^(1/2)*Tableau1[[#This Row],[d2]]/Tableau1[[#This Row],[d1]]</f>
        <v>-2.3676769727790674</v>
      </c>
      <c r="V103">
        <v>0.47699089067990513</v>
      </c>
      <c r="W103">
        <v>0.34153819607683117</v>
      </c>
      <c r="X103">
        <v>0.67415460691695639</v>
      </c>
      <c r="Y103">
        <v>1.1794664292299073</v>
      </c>
      <c r="Z103">
        <v>16.484249472178213</v>
      </c>
      <c r="AA103">
        <v>28.84</v>
      </c>
      <c r="AB103">
        <f>Tableau1[[#This Row],[u2]]/Tableau1[[#This Row],[u1]]</f>
        <v>0.57472681483876664</v>
      </c>
      <c r="AC103">
        <f>ABS(Tableau1[[#This Row],[u2]]-Tableau1[[#This Row],[u1]])</f>
        <v>33.377720900596437</v>
      </c>
      <c r="AD103">
        <f>(Tableau1[[#This Row],[d1]]+0.002)/Tableau1[[#This Row],[d2]]</f>
        <v>0.53333333333333333</v>
      </c>
      <c r="AE103">
        <f>Tableau1[[#This Row],[S2]]*Tableau1[[#This Row],[u2]]/(Tableau1[[#This Row],[S1]]*Tableau1[[#This Row],[u1]])*(1-Tableau1[[#This Row],[ALPHA]]^3)/(1-Tableau1[[#This Row],[ALPHA]]^4)</f>
        <v>-0.87412054930041094</v>
      </c>
      <c r="AF103">
        <v>0</v>
      </c>
      <c r="AG103" t="s">
        <v>58</v>
      </c>
      <c r="AH103" t="s">
        <v>59</v>
      </c>
      <c r="AI103" t="s">
        <v>42</v>
      </c>
      <c r="AJ103" t="s">
        <v>43</v>
      </c>
      <c r="AK103" t="s">
        <v>44</v>
      </c>
      <c r="AL103" t="s">
        <v>44</v>
      </c>
      <c r="AM103" t="s">
        <v>44</v>
      </c>
    </row>
    <row r="104" spans="1:39" x14ac:dyDescent="0.25">
      <c r="A104" t="s">
        <v>79</v>
      </c>
      <c r="B104">
        <v>10.041659442462372</v>
      </c>
      <c r="C104">
        <v>0.57459786408100078</v>
      </c>
      <c r="D104">
        <v>0.35282722717150078</v>
      </c>
      <c r="E104">
        <v>2.0281111606453299</v>
      </c>
      <c r="F104">
        <v>-0.86602540378443837</v>
      </c>
      <c r="G104">
        <v>0</v>
      </c>
      <c r="H104">
        <v>1.4937346051234525E-3</v>
      </c>
      <c r="I104">
        <v>6.6950452470779407E-3</v>
      </c>
      <c r="J104">
        <v>8.3708398153237504E-5</v>
      </c>
      <c r="K104">
        <v>0</v>
      </c>
      <c r="L104">
        <v>6.0000000000000001E-3</v>
      </c>
      <c r="M104">
        <v>1.4999999999999999E-2</v>
      </c>
      <c r="N104">
        <v>78.29695389847042</v>
      </c>
      <c r="O104">
        <v>44.890265585203103</v>
      </c>
      <c r="P104">
        <v>2</v>
      </c>
      <c r="Q104" t="s">
        <v>39</v>
      </c>
      <c r="R104">
        <v>17936.789218724341</v>
      </c>
      <c r="S104">
        <v>20166.869889206297</v>
      </c>
      <c r="T10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-9.7041015957030879E-2</v>
      </c>
      <c r="U104">
        <f>Tableau1[[#This Row],[S2]]/Tableau1[[#This Row],[S1]]*SQRT(Tableau1[[#This Row],[rho1]]/Tableau1[[#This Row],[rho2]])*Tableau1[[#This Row],[J]]^(1/2)*Tableau1[[#This Row],[d2]]/Tableau1[[#This Row],[d1]]</f>
        <v>0</v>
      </c>
      <c r="V104">
        <v>0.4772798703379913</v>
      </c>
      <c r="W104">
        <v>0.34199390049587886</v>
      </c>
      <c r="X104">
        <v>0.67473959141953899</v>
      </c>
      <c r="Y104">
        <v>1.1794664292299071</v>
      </c>
      <c r="Z104">
        <v>16.498553357932298</v>
      </c>
      <c r="AA104">
        <v>28.839999999999996</v>
      </c>
      <c r="AB104">
        <f>Tableau1[[#This Row],[u2]]/Tableau1[[#This Row],[u1]]</f>
        <v>0.57333348680988805</v>
      </c>
      <c r="AC104">
        <f>ABS(Tableau1[[#This Row],[u2]]-Tableau1[[#This Row],[u1]])</f>
        <v>33.406688313267317</v>
      </c>
      <c r="AD104">
        <f>(Tableau1[[#This Row],[d1]]+0.002)/Tableau1[[#This Row],[d2]]</f>
        <v>0.53333333333333333</v>
      </c>
      <c r="AE104">
        <f>Tableau1[[#This Row],[S2]]*Tableau1[[#This Row],[u2]]/(Tableau1[[#This Row],[S1]]*Tableau1[[#This Row],[u1]])*(1-Tableau1[[#This Row],[ALPHA]]^3)/(1-Tableau1[[#This Row],[ALPHA]]^4)</f>
        <v>0</v>
      </c>
      <c r="AF104">
        <v>0</v>
      </c>
      <c r="AG104" t="s">
        <v>53</v>
      </c>
      <c r="AH104" t="s">
        <v>61</v>
      </c>
      <c r="AI104" t="s">
        <v>42</v>
      </c>
      <c r="AJ104" t="s">
        <v>43</v>
      </c>
      <c r="AK104" t="s">
        <v>44</v>
      </c>
      <c r="AL104" t="s">
        <v>44</v>
      </c>
      <c r="AM104" t="s">
        <v>44</v>
      </c>
    </row>
    <row r="105" spans="1:39" x14ac:dyDescent="0.25">
      <c r="A105" t="s">
        <v>80</v>
      </c>
      <c r="B105">
        <v>10.041665156102367</v>
      </c>
      <c r="C105">
        <v>0.57667961741970075</v>
      </c>
      <c r="D105">
        <v>0.35233989238303648</v>
      </c>
      <c r="E105">
        <v>2.028399092288713</v>
      </c>
      <c r="F105">
        <v>-0.86602540378443837</v>
      </c>
      <c r="G105">
        <v>0.85797344235204165</v>
      </c>
      <c r="H105">
        <v>1.4935353014422655E-3</v>
      </c>
      <c r="I105">
        <v>6.7064596509933475E-3</v>
      </c>
      <c r="J105">
        <v>8.3708445782780649E-5</v>
      </c>
      <c r="K105">
        <v>4.140456848144531E-3</v>
      </c>
      <c r="L105">
        <v>6.0000000000000001E-3</v>
      </c>
      <c r="M105">
        <v>1.4999999999999999E-2</v>
      </c>
      <c r="N105">
        <v>78.290996594560681</v>
      </c>
      <c r="O105">
        <v>44.966799141639179</v>
      </c>
      <c r="P105">
        <v>2</v>
      </c>
      <c r="Q105" t="s">
        <v>39</v>
      </c>
      <c r="R105">
        <v>17934.526787287847</v>
      </c>
      <c r="S105">
        <v>20201.252449761108</v>
      </c>
      <c r="T10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0.52146314748826295</v>
      </c>
      <c r="U105">
        <f>Tableau1[[#This Row],[S2]]/Tableau1[[#This Row],[S1]]*SQRT(Tableau1[[#This Row],[rho1]]/Tableau1[[#This Row],[rho2]])*Tableau1[[#This Row],[J]]^(1/2)*Tableau1[[#This Row],[d2]]/Tableau1[[#This Row],[d1]]</f>
        <v>-1.4225363572690017</v>
      </c>
      <c r="V105">
        <v>0.47726074546443248</v>
      </c>
      <c r="W105">
        <v>0.34196374559447501</v>
      </c>
      <c r="X105">
        <v>0.67470089863094507</v>
      </c>
      <c r="Y105">
        <v>1.1794664292299073</v>
      </c>
      <c r="Z105">
        <v>16.497607252137851</v>
      </c>
      <c r="AA105">
        <v>28.84</v>
      </c>
      <c r="AB105">
        <f>Tableau1[[#This Row],[u2]]/Tableau1[[#This Row],[u1]]</f>
        <v>0.57435466525614876</v>
      </c>
      <c r="AC105">
        <f>ABS(Tableau1[[#This Row],[u2]]-Tableau1[[#This Row],[u1]])</f>
        <v>33.324197452921503</v>
      </c>
      <c r="AD105">
        <f>(Tableau1[[#This Row],[d1]]+0.002)/Tableau1[[#This Row],[d2]]</f>
        <v>0.53333333333333333</v>
      </c>
      <c r="AE105">
        <f>Tableau1[[#This Row],[S2]]*Tableau1[[#This Row],[u2]]/(Tableau1[[#This Row],[S1]]*Tableau1[[#This Row],[u1]])*(1-Tableau1[[#This Row],[ALPHA]]^3)/(1-Tableau1[[#This Row],[ALPHA]]^4)</f>
        <v>-0.5251849286502378</v>
      </c>
      <c r="AF105">
        <v>0</v>
      </c>
      <c r="AG105" t="s">
        <v>53</v>
      </c>
      <c r="AH105" t="s">
        <v>54</v>
      </c>
      <c r="AI105" t="s">
        <v>42</v>
      </c>
      <c r="AJ105" t="s">
        <v>43</v>
      </c>
      <c r="AK105" t="s">
        <v>44</v>
      </c>
      <c r="AL105" t="s">
        <v>44</v>
      </c>
      <c r="AM105" t="s">
        <v>44</v>
      </c>
    </row>
    <row r="106" spans="1:39" x14ac:dyDescent="0.25">
      <c r="A106" t="s">
        <v>81</v>
      </c>
      <c r="B106">
        <v>10.039242572744177</v>
      </c>
      <c r="C106">
        <v>0.57746962116735301</v>
      </c>
      <c r="D106">
        <v>0.35215136276114678</v>
      </c>
      <c r="E106">
        <v>2.0284774792021989</v>
      </c>
      <c r="F106">
        <v>-0.86602540378443837</v>
      </c>
      <c r="G106">
        <v>1.0202231469922829</v>
      </c>
      <c r="H106">
        <v>1.4931205142308154E-3</v>
      </c>
      <c r="I106">
        <v>6.7092402935028071E-3</v>
      </c>
      <c r="J106">
        <v>8.3688250856486966E-5</v>
      </c>
      <c r="K106">
        <v>4.9254920339584351E-3</v>
      </c>
      <c r="L106">
        <v>6.0000000000000001E-3</v>
      </c>
      <c r="M106">
        <v>1.4999999999999999E-2</v>
      </c>
      <c r="N106">
        <v>78.270475380916963</v>
      </c>
      <c r="O106">
        <v>44.985443344350379</v>
      </c>
      <c r="P106">
        <v>2</v>
      </c>
      <c r="Q106" t="s">
        <v>39</v>
      </c>
      <c r="R106">
        <v>17929.581582303486</v>
      </c>
      <c r="S106">
        <v>20209.628323803357</v>
      </c>
      <c r="T10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0.63875610926501025</v>
      </c>
      <c r="U106">
        <f>Tableau1[[#This Row],[S2]]/Tableau1[[#This Row],[S1]]*SQRT(Tableau1[[#This Row],[rho1]]/Tableau1[[#This Row],[rho2]])*Tableau1[[#This Row],[J]]^(1/2)*Tableau1[[#This Row],[d2]]/Tableau1[[#This Row],[d1]]</f>
        <v>-1.6926944997804525</v>
      </c>
      <c r="V106">
        <v>0.47725553958003608</v>
      </c>
      <c r="W106">
        <v>0.34195553718590127</v>
      </c>
      <c r="X106">
        <v>0.67469036572714303</v>
      </c>
      <c r="Y106">
        <v>1.1794664292299073</v>
      </c>
      <c r="Z106">
        <v>16.497349704370382</v>
      </c>
      <c r="AA106">
        <v>28.84</v>
      </c>
      <c r="AB106">
        <f>Tableau1[[#This Row],[u2]]/Tableau1[[#This Row],[u1]]</f>
        <v>0.57474345371509306</v>
      </c>
      <c r="AC106">
        <f>ABS(Tableau1[[#This Row],[u2]]-Tableau1[[#This Row],[u1]])</f>
        <v>33.285032036566584</v>
      </c>
      <c r="AD106">
        <f>(Tableau1[[#This Row],[d1]]+0.002)/Tableau1[[#This Row],[d2]]</f>
        <v>0.53333333333333333</v>
      </c>
      <c r="AE106">
        <f>Tableau1[[#This Row],[S2]]*Tableau1[[#This Row],[u2]]/(Tableau1[[#This Row],[S1]]*Tableau1[[#This Row],[u1]])*(1-Tableau1[[#This Row],[ALPHA]]^3)/(1-Tableau1[[#This Row],[ALPHA]]^4)</f>
        <v>-0.62492437226737352</v>
      </c>
      <c r="AF106">
        <v>0</v>
      </c>
      <c r="AG106" t="s">
        <v>58</v>
      </c>
      <c r="AH106" t="s">
        <v>59</v>
      </c>
      <c r="AI106" t="s">
        <v>42</v>
      </c>
      <c r="AJ106" t="s">
        <v>43</v>
      </c>
      <c r="AK106" t="s">
        <v>44</v>
      </c>
      <c r="AL106" t="s">
        <v>44</v>
      </c>
      <c r="AM106" t="s">
        <v>44</v>
      </c>
    </row>
    <row r="107" spans="1:39" x14ac:dyDescent="0.25">
      <c r="A107" t="s">
        <v>82</v>
      </c>
      <c r="B107">
        <v>10.001641107932247</v>
      </c>
      <c r="C107">
        <v>1.8008468473533217</v>
      </c>
      <c r="D107">
        <v>0.34975295756881847</v>
      </c>
      <c r="E107">
        <v>3.9725215529209668</v>
      </c>
      <c r="F107">
        <v>0.28867513459481287</v>
      </c>
      <c r="G107">
        <v>0</v>
      </c>
      <c r="H107">
        <v>8.0037364497977483E-4</v>
      </c>
      <c r="I107">
        <v>7.4267303228378306E-3</v>
      </c>
      <c r="J107">
        <v>8.3374800833046421E-5</v>
      </c>
      <c r="K107">
        <v>0</v>
      </c>
      <c r="L107">
        <v>6.0000000000000001E-3</v>
      </c>
      <c r="M107">
        <v>1.4999999999999999E-2</v>
      </c>
      <c r="N107">
        <v>57.372137700166661</v>
      </c>
      <c r="O107">
        <v>49.796212619680027</v>
      </c>
      <c r="P107">
        <v>2</v>
      </c>
      <c r="Q107" t="s">
        <v>39</v>
      </c>
      <c r="R107">
        <v>10112.135289008509</v>
      </c>
      <c r="S107">
        <v>22370.857641068611</v>
      </c>
      <c r="T10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1.2753784703023911E-2</v>
      </c>
      <c r="U107">
        <f>Tableau1[[#This Row],[S2]]/Tableau1[[#This Row],[S1]]*SQRT(Tableau1[[#This Row],[rho1]]/Tableau1[[#This Row],[rho2]])*Tableau1[[#This Row],[J]]^(1/2)*Tableau1[[#This Row],[d2]]/Tableau1[[#This Row],[d1]]</f>
        <v>0</v>
      </c>
      <c r="V107">
        <v>0.40181702234732369</v>
      </c>
      <c r="W107">
        <v>0.21850768337579865</v>
      </c>
      <c r="X107">
        <v>0.49340025015367106</v>
      </c>
      <c r="Y107">
        <v>1.1794664292299073</v>
      </c>
      <c r="Z107">
        <v>12.064491927695348</v>
      </c>
      <c r="AA107">
        <v>28.84</v>
      </c>
      <c r="AB107">
        <f>Tableau1[[#This Row],[u2]]/Tableau1[[#This Row],[u1]]</f>
        <v>0.86795114520432748</v>
      </c>
      <c r="AC107">
        <f>ABS(Tableau1[[#This Row],[u2]]-Tableau1[[#This Row],[u1]])</f>
        <v>7.575925080486634</v>
      </c>
      <c r="AD107">
        <f>(Tableau1[[#This Row],[d1]]+0.002)/Tableau1[[#This Row],[d2]]</f>
        <v>0.53333333333333333</v>
      </c>
      <c r="AE107">
        <f>Tableau1[[#This Row],[S2]]*Tableau1[[#This Row],[u2]]/(Tableau1[[#This Row],[S1]]*Tableau1[[#This Row],[u1]])*(1-Tableau1[[#This Row],[ALPHA]]^3)/(1-Tableau1[[#This Row],[ALPHA]]^4)</f>
        <v>0</v>
      </c>
      <c r="AF107">
        <v>1</v>
      </c>
      <c r="AG107" t="s">
        <v>40</v>
      </c>
      <c r="AH107" t="s">
        <v>41</v>
      </c>
      <c r="AI107" t="s">
        <v>42</v>
      </c>
      <c r="AJ107" t="s">
        <v>43</v>
      </c>
      <c r="AK107" t="s">
        <v>44</v>
      </c>
      <c r="AL107" t="s">
        <v>44</v>
      </c>
      <c r="AM107" t="s">
        <v>44</v>
      </c>
    </row>
    <row r="108" spans="1:39" x14ac:dyDescent="0.25">
      <c r="A108" t="s">
        <v>83</v>
      </c>
      <c r="B108">
        <v>9.9993213700939876</v>
      </c>
      <c r="C108">
        <v>1.8000859220146279</v>
      </c>
      <c r="D108">
        <v>0.34979030079859258</v>
      </c>
      <c r="E108">
        <v>3.9720100491316943</v>
      </c>
      <c r="F108">
        <v>0.28867513459481287</v>
      </c>
      <c r="G108">
        <v>0.67164375991763103</v>
      </c>
      <c r="H108">
        <v>8.0028032133179115E-4</v>
      </c>
      <c r="I108">
        <v>7.4240462732315052E-3</v>
      </c>
      <c r="J108">
        <v>8.3355463238529395E-5</v>
      </c>
      <c r="K108">
        <v>3.5880687522888187E-3</v>
      </c>
      <c r="L108">
        <v>6.0000000000000001E-3</v>
      </c>
      <c r="M108">
        <v>1.4999999999999999E-2</v>
      </c>
      <c r="N108">
        <v>57.361599129694412</v>
      </c>
      <c r="O108">
        <v>49.778216072199733</v>
      </c>
      <c r="P108">
        <v>2</v>
      </c>
      <c r="Q108" t="s">
        <v>39</v>
      </c>
      <c r="R108">
        <v>10110.821786827793</v>
      </c>
      <c r="S108">
        <v>22362.772724956871</v>
      </c>
      <c r="T10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0.61019071107927048</v>
      </c>
      <c r="U108">
        <f>Tableau1[[#This Row],[S2]]/Tableau1[[#This Row],[S1]]*SQRT(Tableau1[[#This Row],[rho1]]/Tableau1[[#This Row],[rho2]])*Tableau1[[#This Row],[J]]^(1/2)*Tableau1[[#This Row],[d2]]/Tableau1[[#This Row],[d1]]</f>
        <v>5.0476321084335236</v>
      </c>
      <c r="V108">
        <v>0.40182862165140182</v>
      </c>
      <c r="W108">
        <v>0.21852738239804123</v>
      </c>
      <c r="X108">
        <v>0.49343335739741906</v>
      </c>
      <c r="Y108">
        <v>1.1794664292299073</v>
      </c>
      <c r="Z108">
        <v>12.065301457230085</v>
      </c>
      <c r="AA108">
        <v>28.84</v>
      </c>
      <c r="AB108">
        <f>Tableau1[[#This Row],[u2]]/Tableau1[[#This Row],[u1]]</f>
        <v>0.86779686806937384</v>
      </c>
      <c r="AC108">
        <f>ABS(Tableau1[[#This Row],[u2]]-Tableau1[[#This Row],[u1]])</f>
        <v>7.5833830574946788</v>
      </c>
      <c r="AD108">
        <f>(Tableau1[[#This Row],[d1]]+0.002)/Tableau1[[#This Row],[d2]]</f>
        <v>0.53333333333333333</v>
      </c>
      <c r="AE108">
        <f>Tableau1[[#This Row],[S2]]*Tableau1[[#This Row],[u2]]/(Tableau1[[#This Row],[S1]]*Tableau1[[#This Row],[u1]])*(1-Tableau1[[#This Row],[ALPHA]]^3)/(1-Tableau1[[#This Row],[ALPHA]]^4)</f>
        <v>1.863530794959511</v>
      </c>
      <c r="AF108">
        <v>1</v>
      </c>
      <c r="AG108" t="s">
        <v>40</v>
      </c>
      <c r="AH108" t="s">
        <v>47</v>
      </c>
      <c r="AI108" t="s">
        <v>42</v>
      </c>
      <c r="AJ108" t="s">
        <v>43</v>
      </c>
      <c r="AK108" t="s">
        <v>44</v>
      </c>
      <c r="AL108" t="s">
        <v>44</v>
      </c>
      <c r="AM108" t="s">
        <v>44</v>
      </c>
    </row>
    <row r="109" spans="1:39" x14ac:dyDescent="0.25">
      <c r="A109" t="s">
        <v>84</v>
      </c>
      <c r="B109">
        <v>9.9869799077031978</v>
      </c>
      <c r="C109">
        <v>1.8184887379483397</v>
      </c>
      <c r="D109">
        <v>0.35061855872969577</v>
      </c>
      <c r="E109">
        <v>4.0139741953527155</v>
      </c>
      <c r="F109">
        <v>0.59587679629710499</v>
      </c>
      <c r="G109">
        <v>0</v>
      </c>
      <c r="H109">
        <v>7.918067416360895E-4</v>
      </c>
      <c r="I109">
        <v>7.4031616544723497E-3</v>
      </c>
      <c r="J109">
        <v>8.3252583425335097E-5</v>
      </c>
      <c r="K109">
        <v>0</v>
      </c>
      <c r="L109">
        <v>6.0000000000000001E-3</v>
      </c>
      <c r="M109">
        <v>1.4999999999999999E-2</v>
      </c>
      <c r="N109">
        <v>57.066329226260819</v>
      </c>
      <c r="O109">
        <v>49.638184743337035</v>
      </c>
      <c r="P109">
        <v>2</v>
      </c>
      <c r="Q109" t="s">
        <v>39</v>
      </c>
      <c r="R109">
        <v>10014.676052767876</v>
      </c>
      <c r="S109">
        <v>22299.863906023143</v>
      </c>
      <c r="T10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2.6098644493139918E-2</v>
      </c>
      <c r="U109">
        <f>Tableau1[[#This Row],[S2]]/Tableau1[[#This Row],[S1]]*SQRT(Tableau1[[#This Row],[rho1]]/Tableau1[[#This Row],[rho2]])*Tableau1[[#This Row],[J]]^(1/2)*Tableau1[[#This Row],[d2]]/Tableau1[[#This Row],[d1]]</f>
        <v>0</v>
      </c>
      <c r="V109">
        <v>0.40088536683193426</v>
      </c>
      <c r="W109">
        <v>0.21692471021130394</v>
      </c>
      <c r="X109">
        <v>0.4907348211712555</v>
      </c>
      <c r="Y109">
        <v>1.1794664292299073</v>
      </c>
      <c r="Z109">
        <v>11.999317565841695</v>
      </c>
      <c r="AA109">
        <v>28.84</v>
      </c>
      <c r="AB109">
        <f>Tableau1[[#This Row],[u2]]/Tableau1[[#This Row],[u1]]</f>
        <v>0.86983314708271975</v>
      </c>
      <c r="AC109">
        <f>ABS(Tableau1[[#This Row],[u2]]-Tableau1[[#This Row],[u1]])</f>
        <v>7.4281444829237842</v>
      </c>
      <c r="AD109">
        <f>(Tableau1[[#This Row],[d1]]+0.002)/Tableau1[[#This Row],[d2]]</f>
        <v>0.53333333333333333</v>
      </c>
      <c r="AE109">
        <f>Tableau1[[#This Row],[S2]]*Tableau1[[#This Row],[u2]]/(Tableau1[[#This Row],[S1]]*Tableau1[[#This Row],[u1]])*(1-Tableau1[[#This Row],[ALPHA]]^3)/(1-Tableau1[[#This Row],[ALPHA]]^4)</f>
        <v>0</v>
      </c>
      <c r="AF109">
        <v>0</v>
      </c>
      <c r="AG109" t="s">
        <v>53</v>
      </c>
      <c r="AH109" t="s">
        <v>61</v>
      </c>
      <c r="AI109" t="s">
        <v>42</v>
      </c>
      <c r="AJ109" t="s">
        <v>43</v>
      </c>
      <c r="AK109" t="s">
        <v>44</v>
      </c>
      <c r="AL109" t="s">
        <v>44</v>
      </c>
      <c r="AM109" t="s">
        <v>44</v>
      </c>
    </row>
    <row r="110" spans="1:39" x14ac:dyDescent="0.25">
      <c r="A110" t="s">
        <v>85</v>
      </c>
      <c r="B110">
        <v>9.9902766779807379</v>
      </c>
      <c r="C110">
        <v>1.8315753902101883</v>
      </c>
      <c r="D110">
        <v>0.34865925258485125</v>
      </c>
      <c r="E110">
        <v>3.999944152114002</v>
      </c>
      <c r="F110">
        <v>0.59587679629710499</v>
      </c>
      <c r="G110">
        <v>0.7220301110811006</v>
      </c>
      <c r="H110">
        <v>7.9455423893146516E-4</v>
      </c>
      <c r="I110">
        <v>7.4487185668945322E-3</v>
      </c>
      <c r="J110">
        <v>8.3280065671730046E-5</v>
      </c>
      <c r="K110">
        <v>3.8700624847412112E-3</v>
      </c>
      <c r="L110">
        <v>6.0000000000000001E-3</v>
      </c>
      <c r="M110">
        <v>1.4999999999999999E-2</v>
      </c>
      <c r="N110">
        <v>57.159716500402816</v>
      </c>
      <c r="O110">
        <v>49.943643754053376</v>
      </c>
      <c r="P110">
        <v>2</v>
      </c>
      <c r="Q110" t="s">
        <v>39</v>
      </c>
      <c r="R110">
        <v>10045.766030667735</v>
      </c>
      <c r="S110">
        <v>22437.090809123325</v>
      </c>
      <c r="T11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0.66940599752033414</v>
      </c>
      <c r="U110">
        <f>Tableau1[[#This Row],[S2]]/Tableau1[[#This Row],[S1]]*SQRT(Tableau1[[#This Row],[rho1]]/Tableau1[[#This Row],[rho2]])*Tableau1[[#This Row],[J]]^(1/2)*Tableau1[[#This Row],[d2]]/Tableau1[[#This Row],[d1]]</f>
        <v>2.6468480009417874</v>
      </c>
      <c r="V110">
        <v>0.40119885637144176</v>
      </c>
      <c r="W110">
        <v>0.21745752452523751</v>
      </c>
      <c r="X110">
        <v>0.49163308405480666</v>
      </c>
      <c r="Y110">
        <v>1.1794664292299073</v>
      </c>
      <c r="Z110">
        <v>12.02128165139734</v>
      </c>
      <c r="AA110">
        <v>28.84</v>
      </c>
      <c r="AB110">
        <f>Tableau1[[#This Row],[u2]]/Tableau1[[#This Row],[u1]]</f>
        <v>0.87375597381945402</v>
      </c>
      <c r="AC110">
        <f>ABS(Tableau1[[#This Row],[u2]]-Tableau1[[#This Row],[u1]])</f>
        <v>7.2160727463494396</v>
      </c>
      <c r="AD110">
        <f>(Tableau1[[#This Row],[d1]]+0.002)/Tableau1[[#This Row],[d2]]</f>
        <v>0.53333333333333333</v>
      </c>
      <c r="AE110">
        <f>Tableau1[[#This Row],[S2]]*Tableau1[[#This Row],[u2]]/(Tableau1[[#This Row],[S1]]*Tableau1[[#This Row],[u1]])*(1-Tableau1[[#This Row],[ALPHA]]^3)/(1-Tableau1[[#This Row],[ALPHA]]^4)</f>
        <v>0.97718745213045677</v>
      </c>
      <c r="AF110">
        <v>0</v>
      </c>
      <c r="AG110" t="s">
        <v>53</v>
      </c>
      <c r="AH110" t="s">
        <v>54</v>
      </c>
      <c r="AI110" t="s">
        <v>42</v>
      </c>
      <c r="AJ110" t="s">
        <v>43</v>
      </c>
      <c r="AK110" t="s">
        <v>44</v>
      </c>
      <c r="AL110" t="s">
        <v>44</v>
      </c>
      <c r="AM110" t="s">
        <v>44</v>
      </c>
    </row>
    <row r="111" spans="1:39" x14ac:dyDescent="0.25">
      <c r="A111" t="s">
        <v>86</v>
      </c>
      <c r="B111">
        <v>9.9855400704242747</v>
      </c>
      <c r="C111">
        <v>1.8197710361125949</v>
      </c>
      <c r="D111">
        <v>0.34963562932546616</v>
      </c>
      <c r="E111">
        <v>3.9990182976158279</v>
      </c>
      <c r="F111">
        <v>0.59587679629710499</v>
      </c>
      <c r="G111">
        <v>0.76601597269190569</v>
      </c>
      <c r="H111">
        <v>7.9434211991544169E-4</v>
      </c>
      <c r="I111">
        <v>7.4222459459304816E-3</v>
      </c>
      <c r="J111">
        <v>8.3240580780462442E-5</v>
      </c>
      <c r="K111">
        <v>4.0912335157394421E-3</v>
      </c>
      <c r="L111">
        <v>6.0000000000000001E-3</v>
      </c>
      <c r="M111">
        <v>1.4999999999999999E-2</v>
      </c>
      <c r="N111">
        <v>57.137551463567831</v>
      </c>
      <c r="O111">
        <v>49.766144881087385</v>
      </c>
      <c r="P111">
        <v>2</v>
      </c>
      <c r="Q111" t="s">
        <v>39</v>
      </c>
      <c r="R111">
        <v>10042.842676173726</v>
      </c>
      <c r="S111">
        <v>22357.349764379633</v>
      </c>
      <c r="T11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0.70827456583991</v>
      </c>
      <c r="U111">
        <f>Tableau1[[#This Row],[S2]]/Tableau1[[#This Row],[S1]]*SQRT(Tableau1[[#This Row],[rho1]]/Tableau1[[#This Row],[rho2]])*Tableau1[[#This Row],[J]]^(1/2)*Tableau1[[#This Row],[d2]]/Tableau1[[#This Row],[d1]]</f>
        <v>2.7991987408026424</v>
      </c>
      <c r="V111">
        <v>0.40121960959728142</v>
      </c>
      <c r="W111">
        <v>0.21749279129049909</v>
      </c>
      <c r="X111">
        <v>0.49169250014443172</v>
      </c>
      <c r="Y111">
        <v>1.1794664292299073</v>
      </c>
      <c r="Z111">
        <v>12.022734477846928</v>
      </c>
      <c r="AA111">
        <v>28.84</v>
      </c>
      <c r="AB111">
        <f>Tableau1[[#This Row],[u2]]/Tableau1[[#This Row],[u1]]</f>
        <v>0.87098840615911555</v>
      </c>
      <c r="AC111">
        <f>ABS(Tableau1[[#This Row],[u2]]-Tableau1[[#This Row],[u1]])</f>
        <v>7.3714065824804464</v>
      </c>
      <c r="AD111">
        <f>(Tableau1[[#This Row],[d1]]+0.002)/Tableau1[[#This Row],[d2]]</f>
        <v>0.53333333333333333</v>
      </c>
      <c r="AE111">
        <f>Tableau1[[#This Row],[S2]]*Tableau1[[#This Row],[u2]]/(Tableau1[[#This Row],[S1]]*Tableau1[[#This Row],[u1]])*(1-Tableau1[[#This Row],[ALPHA]]^3)/(1-Tableau1[[#This Row],[ALPHA]]^4)</f>
        <v>1.0334336858627478</v>
      </c>
      <c r="AF111">
        <v>0</v>
      </c>
      <c r="AG111" t="s">
        <v>58</v>
      </c>
      <c r="AH111" t="s">
        <v>59</v>
      </c>
      <c r="AI111" t="s">
        <v>42</v>
      </c>
      <c r="AJ111" t="s">
        <v>43</v>
      </c>
      <c r="AK111" t="s">
        <v>44</v>
      </c>
      <c r="AL111" t="s">
        <v>44</v>
      </c>
      <c r="AM111" t="s">
        <v>44</v>
      </c>
    </row>
    <row r="112" spans="1:39" x14ac:dyDescent="0.25">
      <c r="A112" t="s">
        <v>87</v>
      </c>
      <c r="B112">
        <v>10.015125298322184</v>
      </c>
      <c r="C112">
        <v>1.7886040283615139</v>
      </c>
      <c r="D112">
        <v>0.34977921068651685</v>
      </c>
      <c r="E112">
        <v>3.9545101908615719</v>
      </c>
      <c r="F112">
        <v>0.86602540378443837</v>
      </c>
      <c r="G112">
        <v>0</v>
      </c>
      <c r="H112">
        <v>8.0472277984664853E-4</v>
      </c>
      <c r="I112">
        <v>7.4328608894348152E-3</v>
      </c>
      <c r="J112">
        <v>8.3487206554869829E-5</v>
      </c>
      <c r="K112">
        <v>0</v>
      </c>
      <c r="L112">
        <v>6.0000000000000001E-3</v>
      </c>
      <c r="M112">
        <v>1.4999999999999999E-2</v>
      </c>
      <c r="N112">
        <v>57.547543884432585</v>
      </c>
      <c r="O112">
        <v>49.837318056995258</v>
      </c>
      <c r="P112">
        <v>2</v>
      </c>
      <c r="Q112" t="s">
        <v>39</v>
      </c>
      <c r="R112">
        <v>10162.323435031412</v>
      </c>
      <c r="S112">
        <v>22389.324183764864</v>
      </c>
      <c r="T11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3.8494146732369214E-2</v>
      </c>
      <c r="U112">
        <f>Tableau1[[#This Row],[S2]]/Tableau1[[#This Row],[S1]]*SQRT(Tableau1[[#This Row],[rho1]]/Tableau1[[#This Row],[rho2]])*Tableau1[[#This Row],[J]]^(1/2)*Tableau1[[#This Row],[d2]]/Tableau1[[#This Row],[d1]]</f>
        <v>0</v>
      </c>
      <c r="V112">
        <v>0.40222699788304972</v>
      </c>
      <c r="W112">
        <v>0.21920380309326604</v>
      </c>
      <c r="X112">
        <v>0.49456926138787299</v>
      </c>
      <c r="Y112">
        <v>1.1794664292299073</v>
      </c>
      <c r="Z112">
        <v>12.093076280042194</v>
      </c>
      <c r="AA112">
        <v>28.84</v>
      </c>
      <c r="AB112">
        <f>Tableau1[[#This Row],[u2]]/Tableau1[[#This Row],[u1]]</f>
        <v>0.86601989751428732</v>
      </c>
      <c r="AC112">
        <f>ABS(Tableau1[[#This Row],[u2]]-Tableau1[[#This Row],[u1]])</f>
        <v>7.710225827437327</v>
      </c>
      <c r="AD112">
        <f>(Tableau1[[#This Row],[d1]]+0.002)/Tableau1[[#This Row],[d2]]</f>
        <v>0.53333333333333333</v>
      </c>
      <c r="AE112">
        <f>Tableau1[[#This Row],[S2]]*Tableau1[[#This Row],[u2]]/(Tableau1[[#This Row],[S1]]*Tableau1[[#This Row],[u1]])*(1-Tableau1[[#This Row],[ALPHA]]^3)/(1-Tableau1[[#This Row],[ALPHA]]^4)</f>
        <v>0</v>
      </c>
      <c r="AF112">
        <v>0</v>
      </c>
      <c r="AG112" t="s">
        <v>53</v>
      </c>
      <c r="AH112" t="s">
        <v>61</v>
      </c>
      <c r="AI112" t="s">
        <v>42</v>
      </c>
      <c r="AJ112" t="s">
        <v>43</v>
      </c>
      <c r="AK112" t="s">
        <v>44</v>
      </c>
      <c r="AL112" t="s">
        <v>44</v>
      </c>
      <c r="AM112" t="s">
        <v>44</v>
      </c>
    </row>
    <row r="113" spans="1:39" x14ac:dyDescent="0.25">
      <c r="A113" t="s">
        <v>88</v>
      </c>
      <c r="B113">
        <v>10.014165406802901</v>
      </c>
      <c r="C113">
        <v>1.7676633035949627</v>
      </c>
      <c r="D113">
        <v>0.35178211151097588</v>
      </c>
      <c r="E113">
        <v>3.9565438554741195</v>
      </c>
      <c r="F113">
        <v>0.86602540378443837</v>
      </c>
      <c r="G113">
        <v>0.75889305434032661</v>
      </c>
      <c r="H113">
        <v>8.042749720989029E-4</v>
      </c>
      <c r="I113">
        <v>7.3860975933074963E-3</v>
      </c>
      <c r="J113">
        <v>8.3479204791621369E-5</v>
      </c>
      <c r="K113">
        <v>4.0334504079818732E-3</v>
      </c>
      <c r="L113">
        <v>6.0000000000000001E-3</v>
      </c>
      <c r="M113">
        <v>1.4999999999999999E-2</v>
      </c>
      <c r="N113">
        <v>57.530912994551201</v>
      </c>
      <c r="O113">
        <v>49.523770245841767</v>
      </c>
      <c r="P113">
        <v>2</v>
      </c>
      <c r="Q113" t="s">
        <v>39</v>
      </c>
      <c r="R113">
        <v>10157.205534921928</v>
      </c>
      <c r="S113">
        <v>22248.463401830388</v>
      </c>
      <c r="T11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0.71257467726030455</v>
      </c>
      <c r="U113">
        <f>Tableau1[[#This Row],[S2]]/Tableau1[[#This Row],[S1]]*SQRT(Tableau1[[#This Row],[rho1]]/Tableau1[[#This Row],[rho2]])*Tableau1[[#This Row],[J]]^(1/2)*Tableau1[[#This Row],[d2]]/Tableau1[[#This Row],[d1]]</f>
        <v>1.8858293429505768</v>
      </c>
      <c r="V113">
        <v>0.40218054881692639</v>
      </c>
      <c r="W113">
        <v>0.21912494907603455</v>
      </c>
      <c r="X113">
        <v>0.49443693544473694</v>
      </c>
      <c r="Y113">
        <v>1.1794664292299073</v>
      </c>
      <c r="Z113">
        <v>12.089840681210834</v>
      </c>
      <c r="AA113">
        <v>28.84</v>
      </c>
      <c r="AB113">
        <f>Tableau1[[#This Row],[u2]]/Tableau1[[#This Row],[u1]]</f>
        <v>0.86082016898518898</v>
      </c>
      <c r="AC113">
        <f>ABS(Tableau1[[#This Row],[u2]]-Tableau1[[#This Row],[u1]])</f>
        <v>8.007142748709434</v>
      </c>
      <c r="AD113">
        <f>(Tableau1[[#This Row],[d1]]+0.002)/Tableau1[[#This Row],[d2]]</f>
        <v>0.53333333333333333</v>
      </c>
      <c r="AE113">
        <f>Tableau1[[#This Row],[S2]]*Tableau1[[#This Row],[u2]]/(Tableau1[[#This Row],[S1]]*Tableau1[[#This Row],[u1]])*(1-Tableau1[[#This Row],[ALPHA]]^3)/(1-Tableau1[[#This Row],[ALPHA]]^4)</f>
        <v>0.69622765271561837</v>
      </c>
      <c r="AF113">
        <v>0</v>
      </c>
      <c r="AG113" t="s">
        <v>58</v>
      </c>
      <c r="AH113" t="s">
        <v>59</v>
      </c>
      <c r="AI113" t="s">
        <v>42</v>
      </c>
      <c r="AJ113" t="s">
        <v>43</v>
      </c>
      <c r="AK113" t="s">
        <v>44</v>
      </c>
      <c r="AL113" t="s">
        <v>44</v>
      </c>
      <c r="AM113" t="s">
        <v>44</v>
      </c>
    </row>
    <row r="114" spans="1:39" x14ac:dyDescent="0.25">
      <c r="A114" t="s">
        <v>89</v>
      </c>
      <c r="B114">
        <v>10.011862809884621</v>
      </c>
      <c r="C114">
        <v>1.7251107321951176</v>
      </c>
      <c r="D114">
        <v>0.35549468823169145</v>
      </c>
      <c r="E114">
        <v>3.9530192298961051</v>
      </c>
      <c r="F114">
        <v>0.86602540378443837</v>
      </c>
      <c r="G114">
        <v>1.0423728242492913</v>
      </c>
      <c r="H114">
        <v>8.0473257640424557E-4</v>
      </c>
      <c r="I114">
        <v>7.2991126012802131E-3</v>
      </c>
      <c r="J114">
        <v>8.3460010085733752E-5</v>
      </c>
      <c r="K114">
        <v>5.4748754739761367E-3</v>
      </c>
      <c r="L114">
        <v>6.0000000000000001E-3</v>
      </c>
      <c r="M114">
        <v>1.4999999999999999E-2</v>
      </c>
      <c r="N114">
        <v>57.536951875899994</v>
      </c>
      <c r="O114">
        <v>48.940536040556047</v>
      </c>
      <c r="P114">
        <v>2</v>
      </c>
      <c r="Q114" t="s">
        <v>39</v>
      </c>
      <c r="R114">
        <v>10162.053097884778</v>
      </c>
      <c r="S114">
        <v>21986.446499510952</v>
      </c>
      <c r="T11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0.96251552192463452</v>
      </c>
      <c r="U114">
        <f>Tableau1[[#This Row],[S2]]/Tableau1[[#This Row],[S1]]*SQRT(Tableau1[[#This Row],[rho1]]/Tableau1[[#This Row],[rho2]])*Tableau1[[#This Row],[J]]^(1/2)*Tableau1[[#This Row],[d2]]/Tableau1[[#This Row],[d1]]</f>
        <v>2.5594952535597137</v>
      </c>
      <c r="V114">
        <v>0.40226107732546068</v>
      </c>
      <c r="W114">
        <v>0.21926165554708282</v>
      </c>
      <c r="X114">
        <v>0.4946663288202392</v>
      </c>
      <c r="Y114">
        <v>1.1794664292299073</v>
      </c>
      <c r="Z114">
        <v>12.095449747128722</v>
      </c>
      <c r="AA114">
        <v>28.84</v>
      </c>
      <c r="AB114">
        <f>Tableau1[[#This Row],[u2]]/Tableau1[[#This Row],[u1]]</f>
        <v>0.85059313093461497</v>
      </c>
      <c r="AC114">
        <f>ABS(Tableau1[[#This Row],[u2]]-Tableau1[[#This Row],[u1]])</f>
        <v>8.5964158353439473</v>
      </c>
      <c r="AD114">
        <f>(Tableau1[[#This Row],[d1]]+0.002)/Tableau1[[#This Row],[d2]]</f>
        <v>0.53333333333333333</v>
      </c>
      <c r="AE114">
        <f>Tableau1[[#This Row],[S2]]*Tableau1[[#This Row],[u2]]/(Tableau1[[#This Row],[S1]]*Tableau1[[#This Row],[u1]])*(1-Tableau1[[#This Row],[ALPHA]]^3)/(1-Tableau1[[#This Row],[ALPHA]]^4)</f>
        <v>0.9449377692546318</v>
      </c>
      <c r="AF114">
        <v>0</v>
      </c>
      <c r="AG114" t="s">
        <v>58</v>
      </c>
      <c r="AH114" t="s">
        <v>59</v>
      </c>
      <c r="AI114" t="s">
        <v>42</v>
      </c>
      <c r="AJ114" t="s">
        <v>43</v>
      </c>
      <c r="AK114" t="s">
        <v>44</v>
      </c>
      <c r="AL114" t="s">
        <v>44</v>
      </c>
      <c r="AM114" t="s">
        <v>44</v>
      </c>
    </row>
    <row r="115" spans="1:39" x14ac:dyDescent="0.25">
      <c r="A115" t="s">
        <v>90</v>
      </c>
      <c r="B115">
        <v>10.073787240158383</v>
      </c>
      <c r="C115">
        <v>1.8268130941977891</v>
      </c>
      <c r="D115">
        <v>0.35026843766870719</v>
      </c>
      <c r="E115">
        <v>4.0205262339720873</v>
      </c>
      <c r="F115">
        <v>-0.28867513500000003</v>
      </c>
      <c r="G115">
        <v>0</v>
      </c>
      <c r="H115">
        <v>7.9752443589410779E-4</v>
      </c>
      <c r="I115">
        <v>7.4768538188934325E-3</v>
      </c>
      <c r="J115">
        <v>8.397621907434464E-5</v>
      </c>
      <c r="K115">
        <v>0</v>
      </c>
      <c r="L115">
        <v>6.0000000000000001E-3</v>
      </c>
      <c r="M115">
        <v>1.4999999999999999E-2</v>
      </c>
      <c r="N115">
        <v>57.527426764787585</v>
      </c>
      <c r="O115">
        <v>50.132290564930194</v>
      </c>
      <c r="P115">
        <v>2</v>
      </c>
      <c r="Q115" t="s">
        <v>39</v>
      </c>
      <c r="R115">
        <v>10088.708272283357</v>
      </c>
      <c r="S115">
        <v>22521.840044628418</v>
      </c>
      <c r="T11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-1.2592272135032983E-2</v>
      </c>
      <c r="U115">
        <f>Tableau1[[#This Row],[S2]]/Tableau1[[#This Row],[S1]]*SQRT(Tableau1[[#This Row],[rho1]]/Tableau1[[#This Row],[rho2]])*Tableau1[[#This Row],[J]]^(1/2)*Tableau1[[#This Row],[d2]]/Tableau1[[#This Row],[d1]]</f>
        <v>0</v>
      </c>
      <c r="V115">
        <v>0.40073960477920267</v>
      </c>
      <c r="W115">
        <v>0.2166769124620713</v>
      </c>
      <c r="X115">
        <v>0.49031668061026196</v>
      </c>
      <c r="Y115">
        <v>1.1794664292299073</v>
      </c>
      <c r="Z115">
        <v>11.989093303853224</v>
      </c>
      <c r="AA115">
        <v>28.84</v>
      </c>
      <c r="AB115">
        <f>Tableau1[[#This Row],[u2]]/Tableau1[[#This Row],[u1]]</f>
        <v>0.87145025224065931</v>
      </c>
      <c r="AC115">
        <f>ABS(Tableau1[[#This Row],[u2]]-Tableau1[[#This Row],[u1]])</f>
        <v>7.3951361998573901</v>
      </c>
      <c r="AD115">
        <f>(Tableau1[[#This Row],[d1]]+0.002)/Tableau1[[#This Row],[d2]]</f>
        <v>0.53333333333333333</v>
      </c>
      <c r="AE115">
        <f>Tableau1[[#This Row],[S2]]*Tableau1[[#This Row],[u2]]/(Tableau1[[#This Row],[S1]]*Tableau1[[#This Row],[u1]])*(1-Tableau1[[#This Row],[ALPHA]]^3)/(1-Tableau1[[#This Row],[ALPHA]]^4)</f>
        <v>0</v>
      </c>
      <c r="AF115">
        <v>1</v>
      </c>
      <c r="AG115" t="s">
        <v>40</v>
      </c>
      <c r="AH115" t="s">
        <v>41</v>
      </c>
      <c r="AI115" t="s">
        <v>42</v>
      </c>
      <c r="AJ115" t="s">
        <v>43</v>
      </c>
      <c r="AK115" t="s">
        <v>44</v>
      </c>
      <c r="AL115" t="s">
        <v>44</v>
      </c>
      <c r="AM115" t="s">
        <v>44</v>
      </c>
    </row>
    <row r="116" spans="1:39" x14ac:dyDescent="0.25">
      <c r="A116" t="s">
        <v>91</v>
      </c>
      <c r="B116">
        <v>10.073050180598933</v>
      </c>
      <c r="C116">
        <v>1.7986491144836561</v>
      </c>
      <c r="D116">
        <v>0.35350906476154231</v>
      </c>
      <c r="E116">
        <v>4.0333591855006317</v>
      </c>
      <c r="F116">
        <v>-0.28867513500000003</v>
      </c>
      <c r="G116">
        <v>0.70666732811086852</v>
      </c>
      <c r="H116">
        <v>7.9519595167144548E-4</v>
      </c>
      <c r="I116">
        <v>7.4035007572174072E-3</v>
      </c>
      <c r="J116">
        <v>8.3970074863278876E-5</v>
      </c>
      <c r="K116">
        <v>3.7647248411178591E-3</v>
      </c>
      <c r="L116">
        <v>6.0000000000000001E-3</v>
      </c>
      <c r="M116">
        <v>1.4999999999999999E-2</v>
      </c>
      <c r="N116">
        <v>57.45514496750453</v>
      </c>
      <c r="O116">
        <v>49.640458426594506</v>
      </c>
      <c r="P116">
        <v>2</v>
      </c>
      <c r="Q116" t="s">
        <v>39</v>
      </c>
      <c r="R116">
        <v>10062.602881793338</v>
      </c>
      <c r="S116">
        <v>22300.885354077083</v>
      </c>
      <c r="T11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0.61576273379022706</v>
      </c>
      <c r="U116">
        <f>Tableau1[[#This Row],[S2]]/Tableau1[[#This Row],[S1]]*SQRT(Tableau1[[#This Row],[rho1]]/Tableau1[[#This Row],[rho2]])*Tableau1[[#This Row],[J]]^(1/2)*Tableau1[[#This Row],[d2]]/Tableau1[[#This Row],[d1]]</f>
        <v>-5.2875258373063092</v>
      </c>
      <c r="V116">
        <v>0.40045528052212709</v>
      </c>
      <c r="W116">
        <v>0.21619345250770461</v>
      </c>
      <c r="X116">
        <v>0.48950017736736245</v>
      </c>
      <c r="Y116">
        <v>1.1794664292299075</v>
      </c>
      <c r="Z116">
        <v>11.969128383325053</v>
      </c>
      <c r="AA116">
        <v>28.840000000000003</v>
      </c>
      <c r="AB116">
        <f>Tableau1[[#This Row],[u2]]/Tableau1[[#This Row],[u1]]</f>
        <v>0.86398630539823973</v>
      </c>
      <c r="AC116">
        <f>ABS(Tableau1[[#This Row],[u2]]-Tableau1[[#This Row],[u1]])</f>
        <v>7.8146865409100243</v>
      </c>
      <c r="AD116">
        <f>(Tableau1[[#This Row],[d1]]+0.002)/Tableau1[[#This Row],[d2]]</f>
        <v>0.53333333333333333</v>
      </c>
      <c r="AE116">
        <f>Tableau1[[#This Row],[S2]]*Tableau1[[#This Row],[u2]]/(Tableau1[[#This Row],[S1]]*Tableau1[[#This Row],[u1]])*(1-Tableau1[[#This Row],[ALPHA]]^3)/(1-Tableau1[[#This Row],[ALPHA]]^4)</f>
        <v>-1.9520969467052331</v>
      </c>
      <c r="AF116">
        <v>1</v>
      </c>
      <c r="AG116" t="s">
        <v>40</v>
      </c>
      <c r="AH116" t="s">
        <v>47</v>
      </c>
      <c r="AI116" t="s">
        <v>42</v>
      </c>
      <c r="AJ116" t="s">
        <v>43</v>
      </c>
      <c r="AK116" t="s">
        <v>44</v>
      </c>
      <c r="AL116" t="s">
        <v>44</v>
      </c>
      <c r="AM116" t="s">
        <v>44</v>
      </c>
    </row>
    <row r="117" spans="1:39" x14ac:dyDescent="0.25">
      <c r="A117" t="s">
        <v>92</v>
      </c>
      <c r="B117">
        <v>10.07822673843507</v>
      </c>
      <c r="C117">
        <v>1.8862422028204748</v>
      </c>
      <c r="D117">
        <v>0.35393082889720662</v>
      </c>
      <c r="E117">
        <v>4.1754701189023677</v>
      </c>
      <c r="F117">
        <v>-0.59587679629710499</v>
      </c>
      <c r="G117">
        <v>0</v>
      </c>
      <c r="H117">
        <v>7.7138579488302472E-4</v>
      </c>
      <c r="I117">
        <v>7.4218492984771739E-3</v>
      </c>
      <c r="J117">
        <v>8.4013227229368714E-5</v>
      </c>
      <c r="K117">
        <v>0</v>
      </c>
      <c r="L117">
        <v>6.0000000000000001E-3</v>
      </c>
      <c r="M117">
        <v>1.4999999999999999E-2</v>
      </c>
      <c r="N117">
        <v>56.758440200378836</v>
      </c>
      <c r="O117">
        <v>49.763485360671083</v>
      </c>
      <c r="P117">
        <v>2</v>
      </c>
      <c r="Q117" t="s">
        <v>39</v>
      </c>
      <c r="R117">
        <v>9797.2674129907355</v>
      </c>
      <c r="S117">
        <v>22356.154979686245</v>
      </c>
      <c r="T11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-2.5260538445085048E-2</v>
      </c>
      <c r="U117">
        <f>Tableau1[[#This Row],[S2]]/Tableau1[[#This Row],[S1]]*SQRT(Tableau1[[#This Row],[rho1]]/Tableau1[[#This Row],[rho2]])*Tableau1[[#This Row],[J]]^(1/2)*Tableau1[[#This Row],[d2]]/Tableau1[[#This Row],[d1]]</f>
        <v>0</v>
      </c>
      <c r="V117">
        <v>0.397406675849729</v>
      </c>
      <c r="W117">
        <v>0.21100097643883528</v>
      </c>
      <c r="X117">
        <v>0.4806719762366034</v>
      </c>
      <c r="Y117">
        <v>1.1794664292299073</v>
      </c>
      <c r="Z117">
        <v>11.753263553007391</v>
      </c>
      <c r="AA117">
        <v>28.84</v>
      </c>
      <c r="AB117">
        <f>Tableau1[[#This Row],[u2]]/Tableau1[[#This Row],[u1]]</f>
        <v>0.87675921299082737</v>
      </c>
      <c r="AC117">
        <f>ABS(Tableau1[[#This Row],[u2]]-Tableau1[[#This Row],[u1]])</f>
        <v>6.9949548397077521</v>
      </c>
      <c r="AD117">
        <f>(Tableau1[[#This Row],[d1]]+0.002)/Tableau1[[#This Row],[d2]]</f>
        <v>0.53333333333333333</v>
      </c>
      <c r="AE117">
        <f>Tableau1[[#This Row],[S2]]*Tableau1[[#This Row],[u2]]/(Tableau1[[#This Row],[S1]]*Tableau1[[#This Row],[u1]])*(1-Tableau1[[#This Row],[ALPHA]]^3)/(1-Tableau1[[#This Row],[ALPHA]]^4)</f>
        <v>0</v>
      </c>
      <c r="AF117">
        <v>0</v>
      </c>
      <c r="AG117" t="s">
        <v>53</v>
      </c>
      <c r="AH117" t="s">
        <v>61</v>
      </c>
      <c r="AI117" t="s">
        <v>42</v>
      </c>
      <c r="AJ117" t="s">
        <v>43</v>
      </c>
      <c r="AK117" t="s">
        <v>44</v>
      </c>
      <c r="AL117" t="s">
        <v>44</v>
      </c>
      <c r="AM117" t="s">
        <v>44</v>
      </c>
    </row>
    <row r="118" spans="1:39" x14ac:dyDescent="0.25">
      <c r="A118" t="s">
        <v>93</v>
      </c>
      <c r="B118">
        <v>10.079140920834389</v>
      </c>
      <c r="C118">
        <v>1.9128931159978819</v>
      </c>
      <c r="D118">
        <v>0.3517154692756515</v>
      </c>
      <c r="E118">
        <v>4.1763795640369352</v>
      </c>
      <c r="F118">
        <v>-0.59587679629710499</v>
      </c>
      <c r="G118">
        <v>0.75609816752784609</v>
      </c>
      <c r="H118">
        <v>7.7130607096347406E-4</v>
      </c>
      <c r="I118">
        <v>7.4737546253204334E-3</v>
      </c>
      <c r="J118">
        <v>8.4020847956271997E-5</v>
      </c>
      <c r="K118">
        <v>4.0662878847122193E-3</v>
      </c>
      <c r="L118">
        <v>6.0000000000000001E-3</v>
      </c>
      <c r="M118">
        <v>1.4999999999999999E-2</v>
      </c>
      <c r="N118">
        <v>56.759099883138035</v>
      </c>
      <c r="O118">
        <v>50.111510477946837</v>
      </c>
      <c r="P118">
        <v>2</v>
      </c>
      <c r="Q118" t="s">
        <v>39</v>
      </c>
      <c r="R118">
        <v>9796.4848242593143</v>
      </c>
      <c r="S118">
        <v>22512.504628474901</v>
      </c>
      <c r="T11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0.65202061101352782</v>
      </c>
      <c r="U118">
        <f>Tableau1[[#This Row],[S2]]/Tableau1[[#This Row],[S1]]*SQRT(Tableau1[[#This Row],[rho1]]/Tableau1[[#This Row],[rho2]])*Tableau1[[#This Row],[J]]^(1/2)*Tableau1[[#This Row],[d2]]/Tableau1[[#This Row],[d1]]</f>
        <v>-2.8006814446716541</v>
      </c>
      <c r="V118">
        <v>0.39738773787893761</v>
      </c>
      <c r="W118">
        <v>0.21096867098747032</v>
      </c>
      <c r="X118">
        <v>0.48061671200788852</v>
      </c>
      <c r="Y118">
        <v>1.1794664292299073</v>
      </c>
      <c r="Z118">
        <v>11.751912246758533</v>
      </c>
      <c r="AA118">
        <v>28.84</v>
      </c>
      <c r="AB118">
        <f>Tableau1[[#This Row],[u2]]/Tableau1[[#This Row],[u1]]</f>
        <v>0.88288064083331141</v>
      </c>
      <c r="AC118">
        <f>ABS(Tableau1[[#This Row],[u2]]-Tableau1[[#This Row],[u1]])</f>
        <v>6.6475894051911979</v>
      </c>
      <c r="AD118">
        <f>(Tableau1[[#This Row],[d1]]+0.002)/Tableau1[[#This Row],[d2]]</f>
        <v>0.53333333333333333</v>
      </c>
      <c r="AE118">
        <f>Tableau1[[#This Row],[S2]]*Tableau1[[#This Row],[u2]]/(Tableau1[[#This Row],[S1]]*Tableau1[[#This Row],[u1]])*(1-Tableau1[[#This Row],[ALPHA]]^3)/(1-Tableau1[[#This Row],[ALPHA]]^4)</f>
        <v>-1.0339810839813812</v>
      </c>
      <c r="AF118">
        <v>0</v>
      </c>
      <c r="AG118" t="s">
        <v>53</v>
      </c>
      <c r="AH118" t="s">
        <v>54</v>
      </c>
      <c r="AI118" t="s">
        <v>42</v>
      </c>
      <c r="AJ118" t="s">
        <v>43</v>
      </c>
      <c r="AK118" t="s">
        <v>44</v>
      </c>
      <c r="AL118" t="s">
        <v>44</v>
      </c>
      <c r="AM118" t="s">
        <v>44</v>
      </c>
    </row>
    <row r="119" spans="1:39" x14ac:dyDescent="0.25">
      <c r="A119" t="s">
        <v>94</v>
      </c>
      <c r="B119">
        <v>10.040008200503603</v>
      </c>
      <c r="C119">
        <v>1.8365117630827765</v>
      </c>
      <c r="D119">
        <v>0.35021687744762658</v>
      </c>
      <c r="E119">
        <v>4.0342751894184499</v>
      </c>
      <c r="F119">
        <v>-0.86602540378443837</v>
      </c>
      <c r="G119">
        <v>0</v>
      </c>
      <c r="H119">
        <v>7.9242656347115834E-4</v>
      </c>
      <c r="I119">
        <v>7.4554081392288214E-3</v>
      </c>
      <c r="J119">
        <v>8.3694633215268457E-5</v>
      </c>
      <c r="K119">
        <v>0</v>
      </c>
      <c r="L119">
        <v>6.0000000000000001E-3</v>
      </c>
      <c r="M119">
        <v>1.4999999999999999E-2</v>
      </c>
      <c r="N119">
        <v>57.261852018561207</v>
      </c>
      <c r="O119">
        <v>49.988497323768783</v>
      </c>
      <c r="P119">
        <v>2</v>
      </c>
      <c r="Q119" t="s">
        <v>39</v>
      </c>
      <c r="R119">
        <v>10027.796646243309</v>
      </c>
      <c r="S119">
        <v>22457.241193459995</v>
      </c>
      <c r="T11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-3.7598969500249893E-2</v>
      </c>
      <c r="U119">
        <f>Tableau1[[#This Row],[S2]]/Tableau1[[#This Row],[S1]]*SQRT(Tableau1[[#This Row],[rho1]]/Tableau1[[#This Row],[rho2]])*Tableau1[[#This Row],[J]]^(1/2)*Tableau1[[#This Row],[d2]]/Tableau1[[#This Row],[d1]]</f>
        <v>0</v>
      </c>
      <c r="V119">
        <v>0.40043504461231288</v>
      </c>
      <c r="W119">
        <v>0.21615903846504705</v>
      </c>
      <c r="X119">
        <v>0.48944202104658735</v>
      </c>
      <c r="Y119">
        <v>1.1794664292299073</v>
      </c>
      <c r="Z119">
        <v>11.967706360408936</v>
      </c>
      <c r="AA119">
        <v>28.84</v>
      </c>
      <c r="AB119">
        <f>Tableau1[[#This Row],[u2]]/Tableau1[[#This Row],[u1]]</f>
        <v>0.87298079893687697</v>
      </c>
      <c r="AC119">
        <f>ABS(Tableau1[[#This Row],[u2]]-Tableau1[[#This Row],[u1]])</f>
        <v>7.2733546947924239</v>
      </c>
      <c r="AD119">
        <f>(Tableau1[[#This Row],[d1]]+0.002)/Tableau1[[#This Row],[d2]]</f>
        <v>0.53333333333333333</v>
      </c>
      <c r="AE119">
        <f>Tableau1[[#This Row],[S2]]*Tableau1[[#This Row],[u2]]/(Tableau1[[#This Row],[S1]]*Tableau1[[#This Row],[u1]])*(1-Tableau1[[#This Row],[ALPHA]]^3)/(1-Tableau1[[#This Row],[ALPHA]]^4)</f>
        <v>0</v>
      </c>
      <c r="AF119">
        <v>0</v>
      </c>
      <c r="AG119" t="s">
        <v>53</v>
      </c>
      <c r="AH119" t="s">
        <v>61</v>
      </c>
      <c r="AI119" t="s">
        <v>42</v>
      </c>
      <c r="AJ119" t="s">
        <v>43</v>
      </c>
      <c r="AK119" t="s">
        <v>44</v>
      </c>
      <c r="AL119" t="s">
        <v>44</v>
      </c>
      <c r="AM119" t="s">
        <v>44</v>
      </c>
    </row>
    <row r="120" spans="1:39" x14ac:dyDescent="0.25">
      <c r="A120" t="s">
        <v>95</v>
      </c>
      <c r="B120">
        <v>10.041076651182808</v>
      </c>
      <c r="C120">
        <v>1.8122024892319331</v>
      </c>
      <c r="D120">
        <v>0.35314890700563156</v>
      </c>
      <c r="E120">
        <v>4.0479863761373949</v>
      </c>
      <c r="F120">
        <v>-0.86602540378443837</v>
      </c>
      <c r="G120">
        <v>0.79936041473688302</v>
      </c>
      <c r="H120">
        <v>7.9011004743190217E-4</v>
      </c>
      <c r="I120">
        <v>7.3908121490478514E-3</v>
      </c>
      <c r="J120">
        <v>8.3703539939836678E-5</v>
      </c>
      <c r="K120">
        <v>4.2512427425384523E-3</v>
      </c>
      <c r="L120">
        <v>6.0000000000000001E-3</v>
      </c>
      <c r="M120">
        <v>1.4999999999999999E-2</v>
      </c>
      <c r="N120">
        <v>57.195953451449697</v>
      </c>
      <c r="O120">
        <v>49.555381333069775</v>
      </c>
      <c r="P120">
        <v>2</v>
      </c>
      <c r="Q120" t="s">
        <v>39</v>
      </c>
      <c r="R120">
        <v>10002.038206978505</v>
      </c>
      <c r="S120">
        <v>22262.664625077188</v>
      </c>
      <c r="T12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0.67351479062560626</v>
      </c>
      <c r="U120">
        <f>Tableau1[[#This Row],[S2]]/Tableau1[[#This Row],[S1]]*SQRT(Tableau1[[#This Row],[rho1]]/Tableau1[[#This Row],[rho2]])*Tableau1[[#This Row],[J]]^(1/2)*Tableau1[[#This Row],[d2]]/Tableau1[[#This Row],[d1]]</f>
        <v>-1.9992980069092616</v>
      </c>
      <c r="V120">
        <v>0.40013307611350957</v>
      </c>
      <c r="W120">
        <v>0.21564541504748436</v>
      </c>
      <c r="X120">
        <v>0.48857348989480082</v>
      </c>
      <c r="Y120">
        <v>1.1794664292299073</v>
      </c>
      <c r="Z120">
        <v>11.946469267265151</v>
      </c>
      <c r="AA120">
        <v>28.84</v>
      </c>
      <c r="AB120">
        <f>Tableau1[[#This Row],[u2]]/Tableau1[[#This Row],[u1]]</f>
        <v>0.86641411398333346</v>
      </c>
      <c r="AC120">
        <f>ABS(Tableau1[[#This Row],[u2]]-Tableau1[[#This Row],[u1]])</f>
        <v>7.6405721183799216</v>
      </c>
      <c r="AD120">
        <f>(Tableau1[[#This Row],[d1]]+0.002)/Tableau1[[#This Row],[d2]]</f>
        <v>0.53333333333333333</v>
      </c>
      <c r="AE120">
        <f>Tableau1[[#This Row],[S2]]*Tableau1[[#This Row],[u2]]/(Tableau1[[#This Row],[S1]]*Tableau1[[#This Row],[u1]])*(1-Tableau1[[#This Row],[ALPHA]]^3)/(1-Tableau1[[#This Row],[ALPHA]]^4)</f>
        <v>-0.73811904753352331</v>
      </c>
      <c r="AF120">
        <v>0</v>
      </c>
      <c r="AG120" t="s">
        <v>58</v>
      </c>
      <c r="AH120" t="s">
        <v>47</v>
      </c>
      <c r="AI120" t="s">
        <v>42</v>
      </c>
      <c r="AJ120" t="s">
        <v>43</v>
      </c>
      <c r="AK120" t="s">
        <v>44</v>
      </c>
      <c r="AL120" t="s">
        <v>44</v>
      </c>
      <c r="AM120" t="s">
        <v>44</v>
      </c>
    </row>
    <row r="121" spans="1:39" x14ac:dyDescent="0.25">
      <c r="A121" t="s">
        <v>96</v>
      </c>
      <c r="B121">
        <v>9.9968359366958399</v>
      </c>
      <c r="C121">
        <v>3.0896905453740628</v>
      </c>
      <c r="D121">
        <v>0.35264063484990066</v>
      </c>
      <c r="E121">
        <v>5.9863034980582981</v>
      </c>
      <c r="F121">
        <v>0.28867513459481287</v>
      </c>
      <c r="G121">
        <v>0</v>
      </c>
      <c r="H121">
        <v>5.5890784781514793E-4</v>
      </c>
      <c r="I121">
        <v>7.597588782310487E-3</v>
      </c>
      <c r="J121">
        <v>8.3334744387261086E-5</v>
      </c>
      <c r="K121">
        <v>0</v>
      </c>
      <c r="L121">
        <v>6.0000000000000001E-3</v>
      </c>
      <c r="M121">
        <v>1.4999999999999999E-2</v>
      </c>
      <c r="N121">
        <v>50.115452846401304</v>
      </c>
      <c r="O121">
        <v>50.941818263876932</v>
      </c>
      <c r="P121">
        <v>2</v>
      </c>
      <c r="Q121" t="s">
        <v>39</v>
      </c>
      <c r="R121">
        <v>7424.0955455174608</v>
      </c>
      <c r="S121">
        <v>22885.518885988371</v>
      </c>
      <c r="T12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7.7926675026025677E-3</v>
      </c>
      <c r="U121">
        <f>Tableau1[[#This Row],[S2]]/Tableau1[[#This Row],[S1]]*SQRT(Tableau1[[#This Row],[rho1]]/Tableau1[[#This Row],[rho2]])*Tableau1[[#This Row],[J]]^(1/2)*Tableau1[[#This Row],[d2]]/Tableau1[[#This Row],[d1]]</f>
        <v>0</v>
      </c>
      <c r="V121">
        <v>0.36989933334407205</v>
      </c>
      <c r="W121">
        <v>0.16342012645127676</v>
      </c>
      <c r="X121">
        <v>0.39443565545104731</v>
      </c>
      <c r="Y121">
        <v>1.1794664292299073</v>
      </c>
      <c r="Z121">
        <v>9.6446359313808259</v>
      </c>
      <c r="AA121">
        <v>28.84</v>
      </c>
      <c r="AB121">
        <f>Tableau1[[#This Row],[u2]]/Tableau1[[#This Row],[u1]]</f>
        <v>1.016489233770038</v>
      </c>
      <c r="AC121">
        <f>ABS(Tableau1[[#This Row],[u2]]-Tableau1[[#This Row],[u1]])</f>
        <v>0.82636541747562831</v>
      </c>
      <c r="AD121">
        <f>(Tableau1[[#This Row],[d1]]+0.002)/Tableau1[[#This Row],[d2]]</f>
        <v>0.53333333333333333</v>
      </c>
      <c r="AE121">
        <f>Tableau1[[#This Row],[S2]]*Tableau1[[#This Row],[u2]]/(Tableau1[[#This Row],[S1]]*Tableau1[[#This Row],[u1]])*(1-Tableau1[[#This Row],[ALPHA]]^3)/(1-Tableau1[[#This Row],[ALPHA]]^4)</f>
        <v>0</v>
      </c>
      <c r="AF121">
        <v>1</v>
      </c>
      <c r="AG121" t="s">
        <v>40</v>
      </c>
      <c r="AH121" t="s">
        <v>41</v>
      </c>
      <c r="AI121" t="s">
        <v>42</v>
      </c>
      <c r="AJ121" t="s">
        <v>43</v>
      </c>
      <c r="AK121" t="s">
        <v>44</v>
      </c>
      <c r="AL121" t="s">
        <v>44</v>
      </c>
      <c r="AM121" t="s">
        <v>44</v>
      </c>
    </row>
    <row r="122" spans="1:39" x14ac:dyDescent="0.25">
      <c r="A122" t="s">
        <v>96</v>
      </c>
      <c r="B122">
        <v>10.000509807213096</v>
      </c>
      <c r="C122">
        <v>2.9145313404535642</v>
      </c>
      <c r="D122">
        <v>0.36278508577577817</v>
      </c>
      <c r="E122">
        <v>5.9956157214583419</v>
      </c>
      <c r="F122">
        <v>0.28867513459481287</v>
      </c>
      <c r="G122">
        <v>4.466730270797397E-2</v>
      </c>
      <c r="H122">
        <v>5.5837432995370622E-4</v>
      </c>
      <c r="I122">
        <v>7.3752894639968879E-3</v>
      </c>
      <c r="J122">
        <v>8.3365370183503628E-5</v>
      </c>
      <c r="K122">
        <v>2.3705542564392092E-4</v>
      </c>
      <c r="L122">
        <v>6.0000000000000001E-3</v>
      </c>
      <c r="M122">
        <v>1.4999999999999999E-2</v>
      </c>
      <c r="N122">
        <v>50.111713058020371</v>
      </c>
      <c r="O122">
        <v>49.451301759472059</v>
      </c>
      <c r="P122">
        <v>2</v>
      </c>
      <c r="Q122" t="s">
        <v>39</v>
      </c>
      <c r="R122">
        <v>7418.636180293076</v>
      </c>
      <c r="S122">
        <v>22215.907066584125</v>
      </c>
      <c r="T12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4.971223448697118E-2</v>
      </c>
      <c r="U122">
        <f>Tableau1[[#This Row],[S2]]/Tableau1[[#This Row],[S1]]*SQRT(Tableau1[[#This Row],[rho1]]/Tableau1[[#This Row],[rho2]])*Tableau1[[#This Row],[J]]^(1/2)*Tableau1[[#This Row],[d2]]/Tableau1[[#This Row],[d1]]</f>
        <v>0.38173223824500574</v>
      </c>
      <c r="V122">
        <v>0.36979630617927051</v>
      </c>
      <c r="W122">
        <v>0.16323940760962172</v>
      </c>
      <c r="X122">
        <v>0.39408854641257701</v>
      </c>
      <c r="Y122">
        <v>1.1794664292299073</v>
      </c>
      <c r="Z122">
        <v>9.6361485133234765</v>
      </c>
      <c r="AA122">
        <v>28.84</v>
      </c>
      <c r="AB122">
        <f>Tableau1[[#This Row],[u2]]/Tableau1[[#This Row],[u1]]</f>
        <v>0.98682121886785878</v>
      </c>
      <c r="AC122">
        <f>ABS(Tableau1[[#This Row],[u2]]-Tableau1[[#This Row],[u1]])</f>
        <v>0.66041129854831127</v>
      </c>
      <c r="AD122">
        <f>(Tableau1[[#This Row],[d1]]+0.002)/Tableau1[[#This Row],[d2]]</f>
        <v>0.53333333333333333</v>
      </c>
      <c r="AE122">
        <f>Tableau1[[#This Row],[S2]]*Tableau1[[#This Row],[u2]]/(Tableau1[[#This Row],[S1]]*Tableau1[[#This Row],[u1]])*(1-Tableau1[[#This Row],[ALPHA]]^3)/(1-Tableau1[[#This Row],[ALPHA]]^4)</f>
        <v>0.14093138448220915</v>
      </c>
      <c r="AF122">
        <v>1</v>
      </c>
      <c r="AG122" t="s">
        <v>40</v>
      </c>
      <c r="AH122" t="s">
        <v>41</v>
      </c>
      <c r="AI122" t="s">
        <v>42</v>
      </c>
      <c r="AJ122" t="s">
        <v>43</v>
      </c>
      <c r="AK122" t="s">
        <v>44</v>
      </c>
      <c r="AL122" t="s">
        <v>44</v>
      </c>
      <c r="AM122" t="s">
        <v>44</v>
      </c>
    </row>
    <row r="123" spans="1:39" x14ac:dyDescent="0.25">
      <c r="A123" t="s">
        <v>97</v>
      </c>
      <c r="B123">
        <v>9.9950932764971405</v>
      </c>
      <c r="C123">
        <v>3.1259596507109304</v>
      </c>
      <c r="D123">
        <v>0.3508117630829467</v>
      </c>
      <c r="E123">
        <v>5.9892587765911198</v>
      </c>
      <c r="F123">
        <v>0.28867513459481287</v>
      </c>
      <c r="G123">
        <v>0.63908258078192925</v>
      </c>
      <c r="H123">
        <v>5.5857579732502703E-4</v>
      </c>
      <c r="I123">
        <v>7.638579111099243E-3</v>
      </c>
      <c r="J123">
        <v>8.3320217376601699E-5</v>
      </c>
      <c r="K123">
        <v>3.5127776670455932E-3</v>
      </c>
      <c r="L123">
        <v>6.0000000000000001E-3</v>
      </c>
      <c r="M123">
        <v>1.4999999999999999E-2</v>
      </c>
      <c r="N123">
        <v>50.099681259258965</v>
      </c>
      <c r="O123">
        <v>51.216658340059418</v>
      </c>
      <c r="P123">
        <v>2</v>
      </c>
      <c r="Q123" t="s">
        <v>39</v>
      </c>
      <c r="R123">
        <v>7420.2015766839022</v>
      </c>
      <c r="S123">
        <v>23008.990288628924</v>
      </c>
      <c r="T12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0.60412844134514232</v>
      </c>
      <c r="U123">
        <f>Tableau1[[#This Row],[S2]]/Tableau1[[#This Row],[S1]]*SQRT(Tableau1[[#This Row],[rho1]]/Tableau1[[#This Row],[rho2]])*Tableau1[[#This Row],[J]]^(1/2)*Tableau1[[#This Row],[d2]]/Tableau1[[#This Row],[d1]]</f>
        <v>5.6580123157081692</v>
      </c>
      <c r="V123">
        <v>0.36986660612944522</v>
      </c>
      <c r="W123">
        <v>0.16336272205263511</v>
      </c>
      <c r="X123">
        <v>0.39432541508033847</v>
      </c>
      <c r="Y123">
        <v>1.1794664292299075</v>
      </c>
      <c r="Z123">
        <v>9.6419403631031262</v>
      </c>
      <c r="AA123">
        <v>28.840000000000003</v>
      </c>
      <c r="AB123">
        <f>Tableau1[[#This Row],[u2]]/Tableau1[[#This Row],[u1]]</f>
        <v>1.0222950935559898</v>
      </c>
      <c r="AC123">
        <f>ABS(Tableau1[[#This Row],[u2]]-Tableau1[[#This Row],[u1]])</f>
        <v>1.1169770808004529</v>
      </c>
      <c r="AD123">
        <f>(Tableau1[[#This Row],[d1]]+0.002)/Tableau1[[#This Row],[d2]]</f>
        <v>0.53333333333333333</v>
      </c>
      <c r="AE123">
        <f>Tableau1[[#This Row],[S2]]*Tableau1[[#This Row],[u2]]/(Tableau1[[#This Row],[S1]]*Tableau1[[#This Row],[u1]])*(1-Tableau1[[#This Row],[ALPHA]]^3)/(1-Tableau1[[#This Row],[ALPHA]]^4)</f>
        <v>2.0888765191436511</v>
      </c>
      <c r="AF123">
        <v>1</v>
      </c>
      <c r="AG123" t="s">
        <v>40</v>
      </c>
      <c r="AH123" t="s">
        <v>47</v>
      </c>
      <c r="AI123" t="s">
        <v>42</v>
      </c>
      <c r="AJ123" t="s">
        <v>43</v>
      </c>
      <c r="AK123" t="s">
        <v>44</v>
      </c>
      <c r="AL123" t="s">
        <v>44</v>
      </c>
      <c r="AM123" t="s">
        <v>44</v>
      </c>
    </row>
    <row r="124" spans="1:39" x14ac:dyDescent="0.25">
      <c r="A124" t="s">
        <v>98</v>
      </c>
      <c r="B124">
        <v>9.9977329781751685</v>
      </c>
      <c r="C124">
        <v>3.0843272692848984</v>
      </c>
      <c r="D124">
        <v>0.35293017741984811</v>
      </c>
      <c r="E124">
        <v>5.9863362053715949</v>
      </c>
      <c r="F124">
        <v>0.28867513459481287</v>
      </c>
      <c r="G124">
        <v>0.93409059201248146</v>
      </c>
      <c r="H124">
        <v>5.5895540143238308E-4</v>
      </c>
      <c r="I124">
        <v>7.5916493463516234E-3</v>
      </c>
      <c r="J124">
        <v>8.3342222225534919E-5</v>
      </c>
      <c r="K124">
        <v>5.102772893905639E-3</v>
      </c>
      <c r="L124">
        <v>6.0000000000000001E-3</v>
      </c>
      <c r="M124">
        <v>1.4999999999999999E-2</v>
      </c>
      <c r="N124">
        <v>50.119871910920104</v>
      </c>
      <c r="O124">
        <v>50.901994357124991</v>
      </c>
      <c r="P124">
        <v>2</v>
      </c>
      <c r="Q124" t="s">
        <v>39</v>
      </c>
      <c r="R124">
        <v>7424.7329337098963</v>
      </c>
      <c r="S124">
        <v>22867.628068558883</v>
      </c>
      <c r="T12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0.87875520105752392</v>
      </c>
      <c r="U124">
        <f>Tableau1[[#This Row],[S2]]/Tableau1[[#This Row],[S1]]*SQRT(Tableau1[[#This Row],[rho1]]/Tableau1[[#This Row],[rho2]])*Tableau1[[#This Row],[J]]^(1/2)*Tableau1[[#This Row],[d2]]/Tableau1[[#This Row],[d1]]</f>
        <v>8.2156981707010548</v>
      </c>
      <c r="V124">
        <v>0.36989897097997321</v>
      </c>
      <c r="W124">
        <v>0.16341949086556132</v>
      </c>
      <c r="X124">
        <v>0.39443443494823882</v>
      </c>
      <c r="Y124">
        <v>1.1794664292299073</v>
      </c>
      <c r="Z124">
        <v>9.6446060879701747</v>
      </c>
      <c r="AA124">
        <v>28.84</v>
      </c>
      <c r="AB124">
        <f>Tableau1[[#This Row],[u2]]/Tableau1[[#This Row],[u1]]</f>
        <v>1.0156050368124441</v>
      </c>
      <c r="AC124">
        <f>ABS(Tableau1[[#This Row],[u2]]-Tableau1[[#This Row],[u1]])</f>
        <v>0.78212244620488747</v>
      </c>
      <c r="AD124">
        <f>(Tableau1[[#This Row],[d1]]+0.002)/Tableau1[[#This Row],[d2]]</f>
        <v>0.53333333333333333</v>
      </c>
      <c r="AE124">
        <f>Tableau1[[#This Row],[S2]]*Tableau1[[#This Row],[u2]]/(Tableau1[[#This Row],[S1]]*Tableau1[[#This Row],[u1]])*(1-Tableau1[[#This Row],[ALPHA]]^3)/(1-Tableau1[[#This Row],[ALPHA]]^4)</f>
        <v>3.0331462781556175</v>
      </c>
      <c r="AF124">
        <v>1</v>
      </c>
      <c r="AG124" t="s">
        <v>40</v>
      </c>
      <c r="AH124" t="s">
        <v>47</v>
      </c>
      <c r="AI124" t="s">
        <v>42</v>
      </c>
      <c r="AJ124" t="s">
        <v>43</v>
      </c>
      <c r="AK124" t="s">
        <v>44</v>
      </c>
      <c r="AL124" t="s">
        <v>44</v>
      </c>
      <c r="AM124" t="s">
        <v>44</v>
      </c>
    </row>
    <row r="125" spans="1:39" x14ac:dyDescent="0.25">
      <c r="A125" t="s">
        <v>99</v>
      </c>
      <c r="B125">
        <v>9.9886939997019208</v>
      </c>
      <c r="C125">
        <v>3.1823596556160045</v>
      </c>
      <c r="D125">
        <v>0.35010310842534187</v>
      </c>
      <c r="E125">
        <v>6.0543458649188286</v>
      </c>
      <c r="F125">
        <v>0.59587679629710499</v>
      </c>
      <c r="G125">
        <v>0</v>
      </c>
      <c r="H125">
        <v>5.5311222207694464E-4</v>
      </c>
      <c r="I125">
        <v>7.6552074766159045E-3</v>
      </c>
      <c r="J125">
        <v>8.326687228827877E-5</v>
      </c>
      <c r="K125">
        <v>0</v>
      </c>
      <c r="L125">
        <v>6.0000000000000001E-3</v>
      </c>
      <c r="M125">
        <v>1.4999999999999999E-2</v>
      </c>
      <c r="N125">
        <v>49.914497048455836</v>
      </c>
      <c r="O125">
        <v>51.328151499066315</v>
      </c>
      <c r="P125">
        <v>2</v>
      </c>
      <c r="Q125" t="s">
        <v>39</v>
      </c>
      <c r="R125">
        <v>7358.8779807653027</v>
      </c>
      <c r="S125">
        <v>23059.078386837224</v>
      </c>
      <c r="T12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1.5647799548098733E-2</v>
      </c>
      <c r="U125">
        <f>Tableau1[[#This Row],[S2]]/Tableau1[[#This Row],[S1]]*SQRT(Tableau1[[#This Row],[rho1]]/Tableau1[[#This Row],[rho2]])*Tableau1[[#This Row],[J]]^(1/2)*Tableau1[[#This Row],[d2]]/Tableau1[[#This Row],[d1]]</f>
        <v>0</v>
      </c>
      <c r="V125">
        <v>0.36915307812543063</v>
      </c>
      <c r="W125">
        <v>0.16211069897670666</v>
      </c>
      <c r="X125">
        <v>0.39191706455153985</v>
      </c>
      <c r="Y125">
        <v>1.1794664292299071</v>
      </c>
      <c r="Z125">
        <v>9.5830520153475227</v>
      </c>
      <c r="AA125">
        <v>28.839999999999996</v>
      </c>
      <c r="AB125">
        <f>Tableau1[[#This Row],[u2]]/Tableau1[[#This Row],[u1]]</f>
        <v>1.0283215204840817</v>
      </c>
      <c r="AC125">
        <f>ABS(Tableau1[[#This Row],[u2]]-Tableau1[[#This Row],[u1]])</f>
        <v>1.4136544506104798</v>
      </c>
      <c r="AD125">
        <f>(Tableau1[[#This Row],[d1]]+0.002)/Tableau1[[#This Row],[d2]]</f>
        <v>0.53333333333333333</v>
      </c>
      <c r="AE125">
        <f>Tableau1[[#This Row],[S2]]*Tableau1[[#This Row],[u2]]/(Tableau1[[#This Row],[S1]]*Tableau1[[#This Row],[u1]])*(1-Tableau1[[#This Row],[ALPHA]]^3)/(1-Tableau1[[#This Row],[ALPHA]]^4)</f>
        <v>0</v>
      </c>
      <c r="AF125">
        <v>0</v>
      </c>
      <c r="AG125" t="s">
        <v>53</v>
      </c>
      <c r="AH125" t="s">
        <v>61</v>
      </c>
      <c r="AI125" t="s">
        <v>42</v>
      </c>
      <c r="AJ125" t="s">
        <v>43</v>
      </c>
      <c r="AK125" t="s">
        <v>44</v>
      </c>
      <c r="AL125" t="s">
        <v>44</v>
      </c>
      <c r="AM125" t="s">
        <v>44</v>
      </c>
    </row>
    <row r="126" spans="1:39" x14ac:dyDescent="0.25">
      <c r="A126" t="s">
        <v>100</v>
      </c>
      <c r="B126">
        <v>9.991122296700107</v>
      </c>
      <c r="C126">
        <v>3.1985514222903202</v>
      </c>
      <c r="D126">
        <v>0.3493397610314129</v>
      </c>
      <c r="E126">
        <v>6.0564800008725044</v>
      </c>
      <c r="F126">
        <v>0.59587679629710499</v>
      </c>
      <c r="G126">
        <v>0.67912540030239121</v>
      </c>
      <c r="H126">
        <v>5.5308108542898504E-4</v>
      </c>
      <c r="I126">
        <v>7.6749925804138188E-3</v>
      </c>
      <c r="J126">
        <v>8.3287114844115599E-5</v>
      </c>
      <c r="K126">
        <v>3.7506716012954719E-3</v>
      </c>
      <c r="L126">
        <v>6.0000000000000001E-3</v>
      </c>
      <c r="M126">
        <v>1.4999999999999999E-2</v>
      </c>
      <c r="N126">
        <v>49.921665745978657</v>
      </c>
      <c r="O126">
        <v>51.460810582215416</v>
      </c>
      <c r="P126">
        <v>2</v>
      </c>
      <c r="Q126" t="s">
        <v>39</v>
      </c>
      <c r="R126">
        <v>7358.8323026345715</v>
      </c>
      <c r="S126">
        <v>23118.675237838517</v>
      </c>
      <c r="T12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0.65032531806634042</v>
      </c>
      <c r="U126">
        <f>Tableau1[[#This Row],[S2]]/Tableau1[[#This Row],[S1]]*SQRT(Tableau1[[#This Row],[rho1]]/Tableau1[[#This Row],[rho2]])*Tableau1[[#This Row],[J]]^(1/2)*Tableau1[[#This Row],[d2]]/Tableau1[[#This Row],[d1]]</f>
        <v>2.9371157568073105</v>
      </c>
      <c r="V126">
        <v>0.36912991492898611</v>
      </c>
      <c r="W126">
        <v>0.16207003939840159</v>
      </c>
      <c r="X126">
        <v>0.39183872644956791</v>
      </c>
      <c r="Y126">
        <v>1.1794664292299075</v>
      </c>
      <c r="Z126">
        <v>9.5811365128754886</v>
      </c>
      <c r="AA126">
        <v>28.840000000000003</v>
      </c>
      <c r="AB126">
        <f>Tableau1[[#This Row],[u2]]/Tableau1[[#This Row],[u1]]</f>
        <v>1.0308311995050112</v>
      </c>
      <c r="AC126">
        <f>ABS(Tableau1[[#This Row],[u2]]-Tableau1[[#This Row],[u1]])</f>
        <v>1.5391448362367584</v>
      </c>
      <c r="AD126">
        <f>(Tableau1[[#This Row],[d1]]+0.002)/Tableau1[[#This Row],[d2]]</f>
        <v>0.53333333333333333</v>
      </c>
      <c r="AE126">
        <f>Tableau1[[#This Row],[S2]]*Tableau1[[#This Row],[u2]]/(Tableau1[[#This Row],[S1]]*Tableau1[[#This Row],[u1]])*(1-Tableau1[[#This Row],[ALPHA]]^3)/(1-Tableau1[[#This Row],[ALPHA]]^4)</f>
        <v>1.0843511459613571</v>
      </c>
      <c r="AF126">
        <v>0</v>
      </c>
      <c r="AG126" t="s">
        <v>53</v>
      </c>
      <c r="AH126" t="s">
        <v>54</v>
      </c>
      <c r="AI126" t="s">
        <v>42</v>
      </c>
      <c r="AJ126" t="s">
        <v>43</v>
      </c>
      <c r="AK126" t="s">
        <v>44</v>
      </c>
      <c r="AL126" t="s">
        <v>44</v>
      </c>
      <c r="AM126" t="s">
        <v>44</v>
      </c>
    </row>
    <row r="127" spans="1:39" x14ac:dyDescent="0.25">
      <c r="A127" t="s">
        <v>101</v>
      </c>
      <c r="B127">
        <v>9.9864313982636101</v>
      </c>
      <c r="C127">
        <v>3.2054504942456856</v>
      </c>
      <c r="D127">
        <v>0.34890876269718191</v>
      </c>
      <c r="E127">
        <v>6.0542323543586178</v>
      </c>
      <c r="F127">
        <v>0.59587679629710499</v>
      </c>
      <c r="G127">
        <v>0.75094029398737561</v>
      </c>
      <c r="H127">
        <v>5.5299574029064587E-4</v>
      </c>
      <c r="I127">
        <v>7.6812711191177382E-3</v>
      </c>
      <c r="J127">
        <v>8.3248010989193157E-5</v>
      </c>
      <c r="K127">
        <v>4.150683364868164E-3</v>
      </c>
      <c r="L127">
        <v>6.0000000000000001E-3</v>
      </c>
      <c r="M127">
        <v>1.4999999999999999E-2</v>
      </c>
      <c r="N127">
        <v>49.903454696422749</v>
      </c>
      <c r="O127">
        <v>51.502908172224821</v>
      </c>
      <c r="P127">
        <v>2</v>
      </c>
      <c r="Q127" t="s">
        <v>39</v>
      </c>
      <c r="R127">
        <v>7357.3086478003879</v>
      </c>
      <c r="S127">
        <v>23137.587503321924</v>
      </c>
      <c r="T12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0.71751523368629588</v>
      </c>
      <c r="U127">
        <f>Tableau1[[#This Row],[S2]]/Tableau1[[#This Row],[S1]]*SQRT(Tableau1[[#This Row],[rho1]]/Tableau1[[#This Row],[rho2]])*Tableau1[[#This Row],[J]]^(1/2)*Tableau1[[#This Row],[d2]]/Tableau1[[#This Row],[d1]]</f>
        <v>3.2515473576206961</v>
      </c>
      <c r="V127">
        <v>0.36915431054073694</v>
      </c>
      <c r="W127">
        <v>0.16211286227327903</v>
      </c>
      <c r="X127">
        <v>0.39192123231378995</v>
      </c>
      <c r="Y127">
        <v>1.1794664292299071</v>
      </c>
      <c r="Z127">
        <v>9.5831539243635948</v>
      </c>
      <c r="AA127">
        <v>28.839999999999996</v>
      </c>
      <c r="AB127">
        <f>Tableau1[[#This Row],[u2]]/Tableau1[[#This Row],[u1]]</f>
        <v>1.0320509569033249</v>
      </c>
      <c r="AC127">
        <f>ABS(Tableau1[[#This Row],[u2]]-Tableau1[[#This Row],[u1]])</f>
        <v>1.599453475802072</v>
      </c>
      <c r="AD127">
        <f>(Tableau1[[#This Row],[d1]]+0.002)/Tableau1[[#This Row],[d2]]</f>
        <v>0.53333333333333333</v>
      </c>
      <c r="AE127">
        <f>Tableau1[[#This Row],[S2]]*Tableau1[[#This Row],[u2]]/(Tableau1[[#This Row],[S1]]*Tableau1[[#This Row],[u1]])*(1-Tableau1[[#This Row],[ALPHA]]^3)/(1-Tableau1[[#This Row],[ALPHA]]^4)</f>
        <v>1.2004358681512246</v>
      </c>
      <c r="AF127">
        <v>0</v>
      </c>
      <c r="AG127" t="s">
        <v>58</v>
      </c>
      <c r="AH127" t="s">
        <v>59</v>
      </c>
      <c r="AI127" t="s">
        <v>42</v>
      </c>
      <c r="AJ127" t="s">
        <v>43</v>
      </c>
      <c r="AK127" t="s">
        <v>44</v>
      </c>
      <c r="AL127" t="s">
        <v>44</v>
      </c>
      <c r="AM127" t="s">
        <v>44</v>
      </c>
    </row>
    <row r="128" spans="1:39" x14ac:dyDescent="0.25">
      <c r="A128" t="s">
        <v>102</v>
      </c>
      <c r="B128">
        <v>10.011508564204881</v>
      </c>
      <c r="C128">
        <v>3.1247528736456012</v>
      </c>
      <c r="D128">
        <v>0.3514034897228373</v>
      </c>
      <c r="E128">
        <v>6.0044699789103539</v>
      </c>
      <c r="F128">
        <v>0.86602540378443837</v>
      </c>
      <c r="G128">
        <v>0</v>
      </c>
      <c r="H128">
        <v>5.5828721719505001E-4</v>
      </c>
      <c r="I128">
        <v>7.638644876480102E-3</v>
      </c>
      <c r="J128">
        <v>8.34570570540587E-5</v>
      </c>
      <c r="K128">
        <v>0</v>
      </c>
      <c r="L128">
        <v>6.0000000000000001E-3</v>
      </c>
      <c r="M128">
        <v>1.4999999999999999E-2</v>
      </c>
      <c r="N128">
        <v>50.145799837313042</v>
      </c>
      <c r="O128">
        <v>51.217099296812378</v>
      </c>
      <c r="P128">
        <v>2</v>
      </c>
      <c r="Q128" t="s">
        <v>39</v>
      </c>
      <c r="R128">
        <v>7419.0254732525182</v>
      </c>
      <c r="S128">
        <v>23009.188387645441</v>
      </c>
      <c r="T12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2.3133199579028235E-2</v>
      </c>
      <c r="U128">
        <f>Tableau1[[#This Row],[S2]]/Tableau1[[#This Row],[S1]]*SQRT(Tableau1[[#This Row],[rho1]]/Tableau1[[#This Row],[rho2]])*Tableau1[[#This Row],[J]]^(1/2)*Tableau1[[#This Row],[d2]]/Tableau1[[#This Row],[d1]]</f>
        <v>0</v>
      </c>
      <c r="V128">
        <v>0.36969861105567309</v>
      </c>
      <c r="W128">
        <v>0.16306802411427773</v>
      </c>
      <c r="X128">
        <v>0.39375922286115239</v>
      </c>
      <c r="Y128">
        <v>1.1794664292299073</v>
      </c>
      <c r="Z128">
        <v>9.6280959812736349</v>
      </c>
      <c r="AA128">
        <v>28.84</v>
      </c>
      <c r="AB128">
        <f>Tableau1[[#This Row],[u2]]/Tableau1[[#This Row],[u1]]</f>
        <v>1.0213636927314935</v>
      </c>
      <c r="AC128">
        <f>ABS(Tableau1[[#This Row],[u2]]-Tableau1[[#This Row],[u1]])</f>
        <v>1.0712994594993361</v>
      </c>
      <c r="AD128">
        <f>(Tableau1[[#This Row],[d1]]+0.002)/Tableau1[[#This Row],[d2]]</f>
        <v>0.53333333333333333</v>
      </c>
      <c r="AE128">
        <f>Tableau1[[#This Row],[S2]]*Tableau1[[#This Row],[u2]]/(Tableau1[[#This Row],[S1]]*Tableau1[[#This Row],[u1]])*(1-Tableau1[[#This Row],[ALPHA]]^3)/(1-Tableau1[[#This Row],[ALPHA]]^4)</f>
        <v>0</v>
      </c>
      <c r="AF128">
        <v>0</v>
      </c>
      <c r="AG128" t="s">
        <v>53</v>
      </c>
      <c r="AH128" t="s">
        <v>61</v>
      </c>
      <c r="AI128" t="s">
        <v>42</v>
      </c>
      <c r="AJ128" t="s">
        <v>43</v>
      </c>
      <c r="AK128" t="s">
        <v>44</v>
      </c>
      <c r="AL128" t="s">
        <v>44</v>
      </c>
      <c r="AM128" t="s">
        <v>44</v>
      </c>
    </row>
    <row r="129" spans="1:39" x14ac:dyDescent="0.25">
      <c r="A129" t="s">
        <v>103</v>
      </c>
      <c r="B129">
        <v>10.011891378084599</v>
      </c>
      <c r="C129">
        <v>3.2113723982199454</v>
      </c>
      <c r="D129">
        <v>0.34700352721983024</v>
      </c>
      <c r="E129">
        <v>6.007273651960741</v>
      </c>
      <c r="F129">
        <v>0.86602540378443837</v>
      </c>
      <c r="G129">
        <v>0.69558287325688695</v>
      </c>
      <c r="H129">
        <v>5.5808694672740693E-4</v>
      </c>
      <c r="I129">
        <v>7.7420403861999526E-3</v>
      </c>
      <c r="J129">
        <v>8.3460248233449465E-5</v>
      </c>
      <c r="K129">
        <v>3.8751223087310797E-3</v>
      </c>
      <c r="L129">
        <v>6.0000000000000001E-3</v>
      </c>
      <c r="M129">
        <v>1.4999999999999999E-2</v>
      </c>
      <c r="N129">
        <v>50.141071793288596</v>
      </c>
      <c r="O129">
        <v>51.910365991860814</v>
      </c>
      <c r="P129">
        <v>2</v>
      </c>
      <c r="Q129" t="s">
        <v>39</v>
      </c>
      <c r="R129">
        <v>7416.8535724471931</v>
      </c>
      <c r="S129">
        <v>23320.637185180964</v>
      </c>
      <c r="T12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0.67285319152063672</v>
      </c>
      <c r="U129">
        <f>Tableau1[[#This Row],[S2]]/Tableau1[[#This Row],[S1]]*SQRT(Tableau1[[#This Row],[rho1]]/Tableau1[[#This Row],[rho2]])*Tableau1[[#This Row],[J]]^(1/2)*Tableau1[[#This Row],[d2]]/Tableau1[[#This Row],[d1]]</f>
        <v>2.0788288485609367</v>
      </c>
      <c r="V129">
        <v>0.36966772993311209</v>
      </c>
      <c r="W129">
        <v>0.16301384677833775</v>
      </c>
      <c r="X129">
        <v>0.39365508851110931</v>
      </c>
      <c r="Y129">
        <v>1.1794664292299073</v>
      </c>
      <c r="Z129">
        <v>9.6255497157922143</v>
      </c>
      <c r="AA129">
        <v>28.84</v>
      </c>
      <c r="AB129">
        <f>Tableau1[[#This Row],[u2]]/Tableau1[[#This Row],[u1]]</f>
        <v>1.0352863258660745</v>
      </c>
      <c r="AC129">
        <f>ABS(Tableau1[[#This Row],[u2]]-Tableau1[[#This Row],[u1]])</f>
        <v>1.7692941985722186</v>
      </c>
      <c r="AD129">
        <f>(Tableau1[[#This Row],[d1]]+0.002)/Tableau1[[#This Row],[d2]]</f>
        <v>0.53333333333333333</v>
      </c>
      <c r="AE129">
        <f>Tableau1[[#This Row],[S2]]*Tableau1[[#This Row],[u2]]/(Tableau1[[#This Row],[S1]]*Tableau1[[#This Row],[u1]])*(1-Tableau1[[#This Row],[ALPHA]]^3)/(1-Tableau1[[#This Row],[ALPHA]]^4)</f>
        <v>0.76748096801091326</v>
      </c>
      <c r="AF129">
        <v>0</v>
      </c>
      <c r="AG129" t="s">
        <v>58</v>
      </c>
      <c r="AH129" t="s">
        <v>59</v>
      </c>
      <c r="AI129" t="s">
        <v>42</v>
      </c>
      <c r="AJ129" t="s">
        <v>43</v>
      </c>
      <c r="AK129" t="s">
        <v>44</v>
      </c>
      <c r="AL129" t="s">
        <v>44</v>
      </c>
      <c r="AM129" t="s">
        <v>44</v>
      </c>
    </row>
    <row r="130" spans="1:39" x14ac:dyDescent="0.25">
      <c r="A130" t="s">
        <v>104</v>
      </c>
      <c r="B130">
        <v>10.075552754917064</v>
      </c>
      <c r="C130">
        <v>3.1875246986568087</v>
      </c>
      <c r="D130">
        <v>0.34876403795573496</v>
      </c>
      <c r="E130">
        <v>6.0230163952088569</v>
      </c>
      <c r="F130">
        <v>-0.28867513500000003</v>
      </c>
      <c r="G130">
        <v>0</v>
      </c>
      <c r="H130">
        <v>5.6038713487588181E-4</v>
      </c>
      <c r="I130">
        <v>7.7507769060134891E-3</v>
      </c>
      <c r="J130">
        <v>8.3990936603176594E-5</v>
      </c>
      <c r="K130">
        <v>0</v>
      </c>
      <c r="L130">
        <v>6.0000000000000001E-3</v>
      </c>
      <c r="M130">
        <v>1.4999999999999999E-2</v>
      </c>
      <c r="N130">
        <v>50.422461297713916</v>
      </c>
      <c r="O130">
        <v>51.968944340512195</v>
      </c>
      <c r="P130">
        <v>2</v>
      </c>
      <c r="Q130" t="s">
        <v>39</v>
      </c>
      <c r="R130">
        <v>7450.1813923620084</v>
      </c>
      <c r="S130">
        <v>23346.953401406838</v>
      </c>
      <c r="T13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-7.5691668971541804E-3</v>
      </c>
      <c r="U130">
        <f>Tableau1[[#This Row],[S2]]/Tableau1[[#This Row],[S1]]*SQRT(Tableau1[[#This Row],[rho1]]/Tableau1[[#This Row],[rho2]])*Tableau1[[#This Row],[J]]^(1/2)*Tableau1[[#This Row],[d2]]/Tableau1[[#This Row],[d1]]</f>
        <v>0</v>
      </c>
      <c r="V130">
        <v>0.36949480916377575</v>
      </c>
      <c r="W130">
        <v>0.16271044589863307</v>
      </c>
      <c r="X130">
        <v>0.3930716601079744</v>
      </c>
      <c r="Y130">
        <v>1.1794664292299073</v>
      </c>
      <c r="Z130">
        <v>9.6112838793687079</v>
      </c>
      <c r="AA130">
        <v>28.84</v>
      </c>
      <c r="AB130">
        <f>Tableau1[[#This Row],[u2]]/Tableau1[[#This Row],[u1]]</f>
        <v>1.0306705187132226</v>
      </c>
      <c r="AC130">
        <f>ABS(Tableau1[[#This Row],[u2]]-Tableau1[[#This Row],[u1]])</f>
        <v>1.546483042798279</v>
      </c>
      <c r="AD130">
        <f>(Tableau1[[#This Row],[d1]]+0.002)/Tableau1[[#This Row],[d2]]</f>
        <v>0.53333333333333333</v>
      </c>
      <c r="AE130">
        <f>Tableau1[[#This Row],[S2]]*Tableau1[[#This Row],[u2]]/(Tableau1[[#This Row],[S1]]*Tableau1[[#This Row],[u1]])*(1-Tableau1[[#This Row],[ALPHA]]^3)/(1-Tableau1[[#This Row],[ALPHA]]^4)</f>
        <v>0</v>
      </c>
      <c r="AF130">
        <v>1</v>
      </c>
      <c r="AG130" t="s">
        <v>40</v>
      </c>
      <c r="AH130" t="s">
        <v>41</v>
      </c>
      <c r="AI130" t="s">
        <v>42</v>
      </c>
      <c r="AJ130" t="s">
        <v>43</v>
      </c>
      <c r="AK130" t="s">
        <v>44</v>
      </c>
      <c r="AL130" t="s">
        <v>44</v>
      </c>
      <c r="AM130" t="s">
        <v>44</v>
      </c>
    </row>
    <row r="131" spans="1:39" x14ac:dyDescent="0.25">
      <c r="A131" t="s">
        <v>105</v>
      </c>
      <c r="B131">
        <v>10.073478703598616</v>
      </c>
      <c r="C131">
        <v>3.089902716850121</v>
      </c>
      <c r="D131">
        <v>0.35373069178008965</v>
      </c>
      <c r="E131">
        <v>6.0178823958765895</v>
      </c>
      <c r="F131">
        <v>-0.28867513500000003</v>
      </c>
      <c r="G131">
        <v>0.64396387937909649</v>
      </c>
      <c r="H131">
        <v>5.6067812057449819E-4</v>
      </c>
      <c r="I131">
        <v>7.6332829427719125E-3</v>
      </c>
      <c r="J131">
        <v>8.3973647079014805E-5</v>
      </c>
      <c r="K131">
        <v>3.5371540164947511E-3</v>
      </c>
      <c r="L131">
        <v>6.0000000000000001E-3</v>
      </c>
      <c r="M131">
        <v>1.4999999999999999E-2</v>
      </c>
      <c r="N131">
        <v>50.424266489156082</v>
      </c>
      <c r="O131">
        <v>51.181147541547404</v>
      </c>
      <c r="P131">
        <v>2</v>
      </c>
      <c r="Q131" t="s">
        <v>39</v>
      </c>
      <c r="R131">
        <v>7453.1499639772464</v>
      </c>
      <c r="S131">
        <v>22993.037127204778</v>
      </c>
      <c r="T13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0.59271563802182081</v>
      </c>
      <c r="U131">
        <f>Tableau1[[#This Row],[S2]]/Tableau1[[#This Row],[S1]]*SQRT(Tableau1[[#This Row],[rho1]]/Tableau1[[#This Row],[rho2]])*Tableau1[[#This Row],[J]]^(1/2)*Tableau1[[#This Row],[d2]]/Tableau1[[#This Row],[d1]]</f>
        <v>-5.6606013264224551</v>
      </c>
      <c r="V131">
        <v>0.3695511128222348</v>
      </c>
      <c r="W131">
        <v>0.16280924024762156</v>
      </c>
      <c r="X131">
        <v>0.39326168655586291</v>
      </c>
      <c r="Y131">
        <v>1.1794664292299075</v>
      </c>
      <c r="Z131">
        <v>9.6159303556238083</v>
      </c>
      <c r="AA131">
        <v>28.840000000000003</v>
      </c>
      <c r="AB131">
        <f>Tableau1[[#This Row],[u2]]/Tableau1[[#This Row],[u1]]</f>
        <v>1.0150102540917296</v>
      </c>
      <c r="AC131">
        <f>ABS(Tableau1[[#This Row],[u2]]-Tableau1[[#This Row],[u1]])</f>
        <v>0.75688105239132142</v>
      </c>
      <c r="AD131">
        <f>(Tableau1[[#This Row],[d1]]+0.002)/Tableau1[[#This Row],[d2]]</f>
        <v>0.53333333333333333</v>
      </c>
      <c r="AE131">
        <f>Tableau1[[#This Row],[S2]]*Tableau1[[#This Row],[u2]]/(Tableau1[[#This Row],[S1]]*Tableau1[[#This Row],[u1]])*(1-Tableau1[[#This Row],[ALPHA]]^3)/(1-Tableau1[[#This Row],[ALPHA]]^4)</f>
        <v>-2.0898323536995198</v>
      </c>
      <c r="AF131">
        <v>1</v>
      </c>
      <c r="AG131" t="s">
        <v>40</v>
      </c>
      <c r="AH131" t="s">
        <v>47</v>
      </c>
      <c r="AI131" t="s">
        <v>42</v>
      </c>
      <c r="AJ131" t="s">
        <v>43</v>
      </c>
      <c r="AK131" t="s">
        <v>44</v>
      </c>
      <c r="AL131" t="s">
        <v>44</v>
      </c>
      <c r="AM131" t="s">
        <v>44</v>
      </c>
    </row>
    <row r="132" spans="1:39" x14ac:dyDescent="0.25">
      <c r="A132" t="s">
        <v>106</v>
      </c>
      <c r="B132">
        <v>10.083471859951153</v>
      </c>
      <c r="C132">
        <v>3.0865280589687898</v>
      </c>
      <c r="D132">
        <v>0.35096430516138405</v>
      </c>
      <c r="E132">
        <v>5.9336531126140892</v>
      </c>
      <c r="F132">
        <v>-0.59587679629710499</v>
      </c>
      <c r="G132">
        <v>0</v>
      </c>
      <c r="H132">
        <v>5.6800794754890212E-4</v>
      </c>
      <c r="I132">
        <v>7.6980700635910036E-3</v>
      </c>
      <c r="J132">
        <v>8.4056951149976268E-5</v>
      </c>
      <c r="K132">
        <v>0</v>
      </c>
      <c r="L132">
        <v>6.0000000000000001E-3</v>
      </c>
      <c r="M132">
        <v>1.4999999999999999E-2</v>
      </c>
      <c r="N132">
        <v>50.677404080313565</v>
      </c>
      <c r="O132">
        <v>51.615545062809709</v>
      </c>
      <c r="P132">
        <v>2</v>
      </c>
      <c r="Q132" t="s">
        <v>39</v>
      </c>
      <c r="R132">
        <v>7535.6034639724794</v>
      </c>
      <c r="S132">
        <v>23188.189420854342</v>
      </c>
      <c r="T13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-1.6100819027249278E-2</v>
      </c>
      <c r="U132">
        <f>Tableau1[[#This Row],[S2]]/Tableau1[[#This Row],[S1]]*SQRT(Tableau1[[#This Row],[rho1]]/Tableau1[[#This Row],[rho2]])*Tableau1[[#This Row],[J]]^(1/2)*Tableau1[[#This Row],[d2]]/Tableau1[[#This Row],[d1]]</f>
        <v>0</v>
      </c>
      <c r="V132">
        <v>0.3704872762057812</v>
      </c>
      <c r="W132">
        <v>0.16445106768287024</v>
      </c>
      <c r="X132">
        <v>0.39641280066192736</v>
      </c>
      <c r="Y132">
        <v>1.1794664292299073</v>
      </c>
      <c r="Z132">
        <v>9.6929805611800912</v>
      </c>
      <c r="AA132">
        <v>28.84</v>
      </c>
      <c r="AB132">
        <f>Tableau1[[#This Row],[u2]]/Tableau1[[#This Row],[u1]]</f>
        <v>1.0185120173284601</v>
      </c>
      <c r="AC132">
        <f>ABS(Tableau1[[#This Row],[u2]]-Tableau1[[#This Row],[u1]])</f>
        <v>0.93814098249614375</v>
      </c>
      <c r="AD132">
        <f>(Tableau1[[#This Row],[d1]]+0.002)/Tableau1[[#This Row],[d2]]</f>
        <v>0.53333333333333333</v>
      </c>
      <c r="AE132">
        <f>Tableau1[[#This Row],[S2]]*Tableau1[[#This Row],[u2]]/(Tableau1[[#This Row],[S1]]*Tableau1[[#This Row],[u1]])*(1-Tableau1[[#This Row],[ALPHA]]^3)/(1-Tableau1[[#This Row],[ALPHA]]^4)</f>
        <v>0</v>
      </c>
      <c r="AF132">
        <v>0</v>
      </c>
      <c r="AG132" t="s">
        <v>53</v>
      </c>
      <c r="AH132" t="s">
        <v>61</v>
      </c>
      <c r="AI132" t="s">
        <v>42</v>
      </c>
      <c r="AJ132" t="s">
        <v>43</v>
      </c>
      <c r="AK132" t="s">
        <v>44</v>
      </c>
      <c r="AL132" t="s">
        <v>44</v>
      </c>
      <c r="AM132" t="s">
        <v>44</v>
      </c>
    </row>
    <row r="133" spans="1:39" x14ac:dyDescent="0.25">
      <c r="A133" t="s">
        <v>107</v>
      </c>
      <c r="B133">
        <v>10.079369466434217</v>
      </c>
      <c r="C133">
        <v>3.0700769916255903</v>
      </c>
      <c r="D133">
        <v>0.35590528114496184</v>
      </c>
      <c r="E133">
        <v>6.0494771919387658</v>
      </c>
      <c r="F133">
        <v>-0.59587679629710499</v>
      </c>
      <c r="G133">
        <v>0.74225104166707179</v>
      </c>
      <c r="H133">
        <v>5.5851483811800878E-4</v>
      </c>
      <c r="I133">
        <v>7.5906567001342764E-3</v>
      </c>
      <c r="J133">
        <v>8.4022753137997797E-5</v>
      </c>
      <c r="K133">
        <v>4.054256930351257E-3</v>
      </c>
      <c r="L133">
        <v>6.0000000000000001E-3</v>
      </c>
      <c r="M133">
        <v>1.4999999999999999E-2</v>
      </c>
      <c r="N133">
        <v>50.3790531720093</v>
      </c>
      <c r="O133">
        <v>50.895338666134961</v>
      </c>
      <c r="P133">
        <v>2</v>
      </c>
      <c r="Q133" t="s">
        <v>39</v>
      </c>
      <c r="R133">
        <v>7429.9078299863986</v>
      </c>
      <c r="S133">
        <v>22864.638011528281</v>
      </c>
      <c r="T13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0.67567960038189201</v>
      </c>
      <c r="U133">
        <f>Tableau1[[#This Row],[S2]]/Tableau1[[#This Row],[S1]]*SQRT(Tableau1[[#This Row],[rho1]]/Tableau1[[#This Row],[rho2]])*Tableau1[[#This Row],[J]]^(1/2)*Tableau1[[#This Row],[d2]]/Tableau1[[#This Row],[d1]]</f>
        <v>-3.146026364446715</v>
      </c>
      <c r="V133">
        <v>0.36920597586238163</v>
      </c>
      <c r="W133">
        <v>0.16220354955931943</v>
      </c>
      <c r="X133">
        <v>0.39209592823408912</v>
      </c>
      <c r="Y133">
        <v>1.1794664292299075</v>
      </c>
      <c r="Z133">
        <v>9.5874255426280648</v>
      </c>
      <c r="AA133">
        <v>28.840000000000003</v>
      </c>
      <c r="AB133">
        <f>Tableau1[[#This Row],[u2]]/Tableau1[[#This Row],[u1]]</f>
        <v>1.0102480190003353</v>
      </c>
      <c r="AC133">
        <f>ABS(Tableau1[[#This Row],[u2]]-Tableau1[[#This Row],[u1]])</f>
        <v>0.51628549412566116</v>
      </c>
      <c r="AD133">
        <f>(Tableau1[[#This Row],[d1]]+0.002)/Tableau1[[#This Row],[d2]]</f>
        <v>0.53333333333333333</v>
      </c>
      <c r="AE133">
        <f>Tableau1[[#This Row],[S2]]*Tableau1[[#This Row],[u2]]/(Tableau1[[#This Row],[S1]]*Tableau1[[#This Row],[u1]])*(1-Tableau1[[#This Row],[ALPHA]]^3)/(1-Tableau1[[#This Row],[ALPHA]]^4)</f>
        <v>-1.1614786668199546</v>
      </c>
      <c r="AF133">
        <v>0</v>
      </c>
      <c r="AG133" t="s">
        <v>53</v>
      </c>
      <c r="AH133" t="s">
        <v>54</v>
      </c>
      <c r="AI133" t="s">
        <v>42</v>
      </c>
      <c r="AJ133" t="s">
        <v>43</v>
      </c>
      <c r="AK133" t="s">
        <v>44</v>
      </c>
      <c r="AL133" t="s">
        <v>44</v>
      </c>
      <c r="AM133" t="s">
        <v>44</v>
      </c>
    </row>
    <row r="134" spans="1:39" x14ac:dyDescent="0.25">
      <c r="A134" t="s">
        <v>108</v>
      </c>
      <c r="B134">
        <v>10.041373760462584</v>
      </c>
      <c r="C134">
        <v>3.1683808078137226</v>
      </c>
      <c r="D134">
        <v>0.35079443465721755</v>
      </c>
      <c r="E134">
        <v>6.0533109864642798</v>
      </c>
      <c r="F134">
        <v>-0.86602540378443837</v>
      </c>
      <c r="G134">
        <v>0</v>
      </c>
      <c r="H134">
        <v>5.5611005081380614E-4</v>
      </c>
      <c r="I134">
        <v>7.6794029712677018E-3</v>
      </c>
      <c r="J134">
        <v>8.3706016676080223E-5</v>
      </c>
      <c r="K134">
        <v>0</v>
      </c>
      <c r="L134">
        <v>6.0000000000000001E-3</v>
      </c>
      <c r="M134">
        <v>1.4999999999999999E-2</v>
      </c>
      <c r="N134">
        <v>50.180164401693872</v>
      </c>
      <c r="O134">
        <v>51.490382244460982</v>
      </c>
      <c r="P134">
        <v>2</v>
      </c>
      <c r="Q134" t="s">
        <v>39</v>
      </c>
      <c r="R134">
        <v>7398.582854336355</v>
      </c>
      <c r="S134">
        <v>23131.960253133908</v>
      </c>
      <c r="T13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-2.2835658694724013E-2</v>
      </c>
      <c r="U134">
        <f>Tableau1[[#This Row],[S2]]/Tableau1[[#This Row],[S1]]*SQRT(Tableau1[[#This Row],[rho1]]/Tableau1[[#This Row],[rho2]])*Tableau1[[#This Row],[J]]^(1/2)*Tableau1[[#This Row],[d2]]/Tableau1[[#This Row],[d1]]</f>
        <v>0</v>
      </c>
      <c r="V134">
        <v>0.36916431561682955</v>
      </c>
      <c r="W134">
        <v>0.16213042439111358</v>
      </c>
      <c r="X134">
        <v>0.39195506628916632</v>
      </c>
      <c r="Y134">
        <v>1.1794664292299073</v>
      </c>
      <c r="Z134">
        <v>9.5839812237471733</v>
      </c>
      <c r="AA134">
        <v>28.84</v>
      </c>
      <c r="AB134">
        <f>Tableau1[[#This Row],[u2]]/Tableau1[[#This Row],[u1]]</f>
        <v>1.0261102740174139</v>
      </c>
      <c r="AC134">
        <f>ABS(Tableau1[[#This Row],[u2]]-Tableau1[[#This Row],[u1]])</f>
        <v>1.3102178427671092</v>
      </c>
      <c r="AD134">
        <f>(Tableau1[[#This Row],[d1]]+0.002)/Tableau1[[#This Row],[d2]]</f>
        <v>0.53333333333333333</v>
      </c>
      <c r="AE134">
        <f>Tableau1[[#This Row],[S2]]*Tableau1[[#This Row],[u2]]/(Tableau1[[#This Row],[S1]]*Tableau1[[#This Row],[u1]])*(1-Tableau1[[#This Row],[ALPHA]]^3)/(1-Tableau1[[#This Row],[ALPHA]]^4)</f>
        <v>0</v>
      </c>
      <c r="AF134">
        <v>0</v>
      </c>
      <c r="AG134" t="s">
        <v>53</v>
      </c>
      <c r="AH134" t="s">
        <v>54</v>
      </c>
      <c r="AI134" t="s">
        <v>42</v>
      </c>
      <c r="AJ134" t="s">
        <v>43</v>
      </c>
      <c r="AK134" t="s">
        <v>44</v>
      </c>
      <c r="AL134" t="s">
        <v>44</v>
      </c>
      <c r="AM134" t="s">
        <v>44</v>
      </c>
    </row>
    <row r="135" spans="1:39" x14ac:dyDescent="0.25">
      <c r="A135" t="s">
        <v>109</v>
      </c>
      <c r="B135">
        <v>10.043139275221266</v>
      </c>
      <c r="C135">
        <v>3.2316012149209454</v>
      </c>
      <c r="D135">
        <v>0.34768434640569112</v>
      </c>
      <c r="E135">
        <v>6.0574453804598409</v>
      </c>
      <c r="F135">
        <v>-0.86602540378443837</v>
      </c>
      <c r="G135">
        <v>0.77044771069501028</v>
      </c>
      <c r="H135">
        <v>5.5588534125294679E-4</v>
      </c>
      <c r="I135">
        <v>7.7540076303482053E-3</v>
      </c>
      <c r="J135">
        <v>8.3720734204912191E-5</v>
      </c>
      <c r="K135">
        <v>4.2988322162628174E-3</v>
      </c>
      <c r="L135">
        <v>6.0000000000000001E-3</v>
      </c>
      <c r="M135">
        <v>1.4999999999999999E-2</v>
      </c>
      <c r="N135">
        <v>50.179317105103152</v>
      </c>
      <c r="O135">
        <v>51.990606341001488</v>
      </c>
      <c r="P135">
        <v>2</v>
      </c>
      <c r="Q135" t="s">
        <v>39</v>
      </c>
      <c r="R135">
        <v>7396.3109381178629</v>
      </c>
      <c r="S135">
        <v>23356.685015593397</v>
      </c>
      <c r="T13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0.69817058414761624</v>
      </c>
      <c r="U135">
        <f>Tableau1[[#This Row],[S2]]/Tableau1[[#This Row],[S1]]*SQRT(Tableau1[[#This Row],[rho1]]/Tableau1[[#This Row],[rho2]])*Tableau1[[#This Row],[J]]^(1/2)*Tableau1[[#This Row],[d2]]/Tableau1[[#This Row],[d1]]</f>
        <v>-2.3043724893450674</v>
      </c>
      <c r="V135">
        <v>0.36911944182548451</v>
      </c>
      <c r="W135">
        <v>0.16205165509316244</v>
      </c>
      <c r="X135">
        <v>0.39180330310825362</v>
      </c>
      <c r="Y135">
        <v>1.1794664292299073</v>
      </c>
      <c r="Z135">
        <v>9.5802703507379441</v>
      </c>
      <c r="AA135">
        <v>28.84</v>
      </c>
      <c r="AB135">
        <f>Tableau1[[#This Row],[u2]]/Tableau1[[#This Row],[u1]]</f>
        <v>1.0360963309266344</v>
      </c>
      <c r="AC135">
        <f>ABS(Tableau1[[#This Row],[u2]]-Tableau1[[#This Row],[u1]])</f>
        <v>1.8112892358983359</v>
      </c>
      <c r="AD135">
        <f>(Tableau1[[#This Row],[d1]]+0.002)/Tableau1[[#This Row],[d2]]</f>
        <v>0.53333333333333333</v>
      </c>
      <c r="AE135">
        <f>Tableau1[[#This Row],[S2]]*Tableau1[[#This Row],[u2]]/(Tableau1[[#This Row],[S1]]*Tableau1[[#This Row],[u1]])*(1-Tableau1[[#This Row],[ALPHA]]^3)/(1-Tableau1[[#This Row],[ALPHA]]^4)</f>
        <v>-0.8507492235373546</v>
      </c>
      <c r="AF135">
        <v>0</v>
      </c>
      <c r="AG135" t="s">
        <v>58</v>
      </c>
      <c r="AH135" t="s">
        <v>59</v>
      </c>
      <c r="AI135" t="s">
        <v>42</v>
      </c>
      <c r="AJ135" t="s">
        <v>43</v>
      </c>
      <c r="AK135" t="s">
        <v>44</v>
      </c>
      <c r="AL135" t="s">
        <v>44</v>
      </c>
      <c r="AM135" t="s">
        <v>44</v>
      </c>
    </row>
    <row r="136" spans="1:39" x14ac:dyDescent="0.25">
      <c r="A136" t="s">
        <v>110</v>
      </c>
      <c r="B136">
        <v>10.044356280540358</v>
      </c>
      <c r="C136">
        <v>42.063420444683175</v>
      </c>
      <c r="D136">
        <v>0.31093860165436954</v>
      </c>
      <c r="E136">
        <v>65535</v>
      </c>
      <c r="F136">
        <v>-0.86602540378443837</v>
      </c>
      <c r="G136">
        <v>0.76902501000550749</v>
      </c>
      <c r="H136">
        <v>8.3730879297602191E-5</v>
      </c>
      <c r="I136">
        <v>9.1994299983978282E-3</v>
      </c>
      <c r="J136">
        <v>8.3730879297602191E-5</v>
      </c>
      <c r="K136">
        <v>5.0907583808898933E-3</v>
      </c>
      <c r="L136">
        <v>6.0000000000000001E-3</v>
      </c>
      <c r="M136">
        <v>1.4999999999999999E-2</v>
      </c>
      <c r="N136">
        <v>36.02524012270618</v>
      </c>
      <c r="O136">
        <v>61.682160556092128</v>
      </c>
      <c r="P136">
        <v>2</v>
      </c>
      <c r="Q136" t="s">
        <v>39</v>
      </c>
      <c r="R136">
        <v>1997.105141005467</v>
      </c>
      <c r="S136">
        <v>27710.598059590749</v>
      </c>
      <c r="T13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0.76312688669621065</v>
      </c>
      <c r="U136">
        <f>Tableau1[[#This Row],[S2]]/Tableau1[[#This Row],[S1]]*SQRT(Tableau1[[#This Row],[rho1]]/Tableau1[[#This Row],[rho2]])*Tableau1[[#This Row],[J]]^(1/2)*Tableau1[[#This Row],[d2]]/Tableau1[[#This Row],[d1]]</f>
        <v>-3.8010408254466967</v>
      </c>
      <c r="V136">
        <v>0.29577464788732394</v>
      </c>
      <c r="W136">
        <v>2.8301886792452827E-2</v>
      </c>
      <c r="X136">
        <v>8.2202757376980351E-2</v>
      </c>
      <c r="Y136">
        <v>1.1794664292299071</v>
      </c>
      <c r="Z136">
        <v>2.0099999999999998</v>
      </c>
      <c r="AA136">
        <v>28.839999999999996</v>
      </c>
      <c r="AB136">
        <f>Tableau1[[#This Row],[u2]]/Tableau1[[#This Row],[u1]]</f>
        <v>1.7121929054739256</v>
      </c>
      <c r="AC136">
        <f>ABS(Tableau1[[#This Row],[u2]]-Tableau1[[#This Row],[u1]])</f>
        <v>25.656920433385949</v>
      </c>
      <c r="AD136">
        <f>(Tableau1[[#This Row],[d1]]+0.002)/Tableau1[[#This Row],[d2]]</f>
        <v>0.53333333333333333</v>
      </c>
      <c r="AE136">
        <f>Tableau1[[#This Row],[S2]]*Tableau1[[#This Row],[u2]]/(Tableau1[[#This Row],[S1]]*Tableau1[[#This Row],[u1]])*(1-Tableau1[[#This Row],[ALPHA]]^3)/(1-Tableau1[[#This Row],[ALPHA]]^4)</f>
        <v>-1.4033028713173157</v>
      </c>
      <c r="AF136">
        <v>0</v>
      </c>
      <c r="AG136" t="s">
        <v>58</v>
      </c>
      <c r="AH136" t="s">
        <v>59</v>
      </c>
      <c r="AI136" t="s">
        <v>42</v>
      </c>
      <c r="AJ136" t="s">
        <v>43</v>
      </c>
      <c r="AK136" t="s">
        <v>44</v>
      </c>
      <c r="AL136" t="s">
        <v>44</v>
      </c>
      <c r="AM136" t="s">
        <v>44</v>
      </c>
    </row>
    <row r="137" spans="1:39" x14ac:dyDescent="0.25">
      <c r="A137" s="2" t="s">
        <v>182</v>
      </c>
      <c r="B137" s="2">
        <v>10.069696273921439</v>
      </c>
      <c r="C137" s="2">
        <v>1.7357566669360274</v>
      </c>
      <c r="D137" s="2">
        <v>0.35011130281500136</v>
      </c>
      <c r="E137" s="2">
        <v>1.9975902692877545</v>
      </c>
      <c r="F137" s="2">
        <v>0</v>
      </c>
      <c r="G137" s="2">
        <v>0</v>
      </c>
      <c r="H137" s="2">
        <v>1.5195089254988511E-3</v>
      </c>
      <c r="I137" s="2">
        <v>6.7551835775375374E-3</v>
      </c>
      <c r="J137" s="2">
        <v>8.3942116321452474E-5</v>
      </c>
      <c r="K137" s="2">
        <v>0</v>
      </c>
      <c r="L137" s="2">
        <v>0.01</v>
      </c>
      <c r="M137" s="2">
        <v>0.02</v>
      </c>
      <c r="N137" s="2">
        <v>28.498816039233734</v>
      </c>
      <c r="O137" s="2">
        <v>28.485360816931436</v>
      </c>
      <c r="P137" s="2">
        <v>4</v>
      </c>
      <c r="Q137" t="s">
        <v>165</v>
      </c>
      <c r="R137" s="2">
        <v>10939.323614694671</v>
      </c>
      <c r="S137" s="2">
        <v>14625.138698387145</v>
      </c>
      <c r="T13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37" t="e">
        <f>Tableau1[[#This Row],[S2]]/Tableau1[[#This Row],[S1]]*SQRT(Tableau1[[#This Row],[rho1]]/Tableau1[[#This Row],[rho2]])*Tableau1[[#This Row],[J]]^(1/2)*Tableau1[[#This Row],[d2]]/Tableau1[[#This Row],[d1]]</f>
        <v>#DIV/0!</v>
      </c>
      <c r="V137" s="2">
        <v>0.47933023274294995</v>
      </c>
      <c r="W137" s="2">
        <v>0.34522355414030048</v>
      </c>
      <c r="X137" s="2">
        <v>0.67886990458119856</v>
      </c>
      <c r="Y137" s="2">
        <v>1.1794664292299073</v>
      </c>
      <c r="Z137" s="2">
        <v>16.599546678835917</v>
      </c>
      <c r="AA137" s="2">
        <v>28.84</v>
      </c>
      <c r="AB137">
        <f>Tableau1[[#This Row],[u2]]/Tableau1[[#This Row],[u1]]</f>
        <v>0.99952786732319776</v>
      </c>
      <c r="AC137">
        <f>ABS(Tableau1[[#This Row],[u2]]-Tableau1[[#This Row],[u1]])</f>
        <v>1.3455222302297898E-2</v>
      </c>
      <c r="AD137">
        <f>(Tableau1[[#This Row],[d1]]+0.002)/Tableau1[[#This Row],[d2]]</f>
        <v>0.6</v>
      </c>
      <c r="AE137" t="e">
        <f>Tableau1[[#This Row],[S2]]*Tableau1[[#This Row],[u2]]/(Tableau1[[#This Row],[S1]]*Tableau1[[#This Row],[u1]])*(1-Tableau1[[#This Row],[ALPHA]]^3)/(1-Tableau1[[#This Row],[ALPHA]]^4)</f>
        <v>#DIV/0!</v>
      </c>
      <c r="AF137" s="1">
        <v>1</v>
      </c>
      <c r="AG137" s="1" t="s">
        <v>40</v>
      </c>
      <c r="AH137" s="2" t="s">
        <v>41</v>
      </c>
      <c r="AI137" t="s">
        <v>42</v>
      </c>
      <c r="AJ137" t="s">
        <v>42</v>
      </c>
      <c r="AK137">
        <v>11.566666666666666</v>
      </c>
      <c r="AL137" s="9">
        <v>14.6</v>
      </c>
      <c r="AM137">
        <v>2.1052081279209807</v>
      </c>
    </row>
    <row r="138" spans="1:39" x14ac:dyDescent="0.25">
      <c r="A138" s="2" t="s">
        <v>187</v>
      </c>
      <c r="B138" s="2">
        <v>10.062308537406956</v>
      </c>
      <c r="C138" s="2">
        <v>9.5439556573290005</v>
      </c>
      <c r="D138" s="2">
        <v>0.34950273971754331</v>
      </c>
      <c r="E138" s="2">
        <v>5.9535867124492121</v>
      </c>
      <c r="F138" s="2">
        <v>0</v>
      </c>
      <c r="G138" s="2">
        <v>0</v>
      </c>
      <c r="H138" s="2">
        <v>5.6519885731856428E-4</v>
      </c>
      <c r="I138" s="2">
        <v>7.7176743125915524E-3</v>
      </c>
      <c r="J138" s="2">
        <v>8.3880531322165359E-5</v>
      </c>
      <c r="K138" s="2">
        <v>0</v>
      </c>
      <c r="L138" s="2">
        <v>0.01</v>
      </c>
      <c r="M138" s="2">
        <v>0.02</v>
      </c>
      <c r="N138" s="2">
        <v>18.188119979027608</v>
      </c>
      <c r="O138" s="2">
        <v>32.544006382410132</v>
      </c>
      <c r="P138" s="2">
        <v>4</v>
      </c>
      <c r="Q138" t="s">
        <v>165</v>
      </c>
      <c r="R138" s="2">
        <v>4501.1210037230949</v>
      </c>
      <c r="S138" s="2">
        <v>16708.954827808888</v>
      </c>
      <c r="T13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38" t="e">
        <f>Tableau1[[#This Row],[S2]]/Tableau1[[#This Row],[S1]]*SQRT(Tableau1[[#This Row],[rho1]]/Tableau1[[#This Row],[rho2]])*Tableau1[[#This Row],[J]]^(1/2)*Tableau1[[#This Row],[d2]]/Tableau1[[#This Row],[d1]]</f>
        <v>#DIV/0!</v>
      </c>
      <c r="V138" s="2">
        <v>0.37026358535643178</v>
      </c>
      <c r="W138" s="2">
        <v>0.16405890487683217</v>
      </c>
      <c r="X138" s="2">
        <v>0.39566130892413248</v>
      </c>
      <c r="Y138" s="2">
        <v>1.1794664292299073</v>
      </c>
      <c r="Z138" s="2">
        <v>9.6746052847153301</v>
      </c>
      <c r="AA138" s="2">
        <v>28.84</v>
      </c>
      <c r="AB138">
        <f>Tableau1[[#This Row],[u2]]/Tableau1[[#This Row],[u1]]</f>
        <v>1.789300181653521</v>
      </c>
      <c r="AC138">
        <f>ABS(Tableau1[[#This Row],[u2]]-Tableau1[[#This Row],[u1]])</f>
        <v>14.355886403382524</v>
      </c>
      <c r="AD138">
        <f>(Tableau1[[#This Row],[d1]]+0.002)/Tableau1[[#This Row],[d2]]</f>
        <v>0.6</v>
      </c>
      <c r="AE138" t="e">
        <f>Tableau1[[#This Row],[S2]]*Tableau1[[#This Row],[u2]]/(Tableau1[[#This Row],[S1]]*Tableau1[[#This Row],[u1]])*(1-Tableau1[[#This Row],[ALPHA]]^3)/(1-Tableau1[[#This Row],[ALPHA]]^4)</f>
        <v>#DIV/0!</v>
      </c>
      <c r="AF138" s="1">
        <v>1</v>
      </c>
      <c r="AG138" s="1" t="s">
        <v>40</v>
      </c>
      <c r="AH138" s="2" t="s">
        <v>41</v>
      </c>
      <c r="AI138" t="s">
        <v>42</v>
      </c>
      <c r="AJ138" t="s">
        <v>42</v>
      </c>
      <c r="AK138">
        <v>12.666666666666668</v>
      </c>
      <c r="AL138" s="9">
        <v>16.2</v>
      </c>
      <c r="AM138">
        <v>2.3403059537612263</v>
      </c>
    </row>
    <row r="139" spans="1:39" x14ac:dyDescent="0.25">
      <c r="A139" s="2" t="s">
        <v>184</v>
      </c>
      <c r="B139" s="2">
        <v>10.062845619566554</v>
      </c>
      <c r="C139" s="2">
        <v>0.93017670127183127</v>
      </c>
      <c r="D139" s="2">
        <v>0.44917646137787887</v>
      </c>
      <c r="E139" s="2">
        <v>1.9961769639264502</v>
      </c>
      <c r="F139" s="2">
        <v>0</v>
      </c>
      <c r="G139" s="2">
        <v>0</v>
      </c>
      <c r="H139" s="2">
        <v>1.5194908658715048E-3</v>
      </c>
      <c r="I139" s="2">
        <v>4.9443440914154054E-3</v>
      </c>
      <c r="J139" s="2">
        <v>8.3885008499221022E-5</v>
      </c>
      <c r="K139" s="2">
        <v>0</v>
      </c>
      <c r="L139" s="2">
        <v>0.01</v>
      </c>
      <c r="M139" s="2">
        <v>0.02</v>
      </c>
      <c r="N139" s="2">
        <v>28.490392128548976</v>
      </c>
      <c r="O139" s="2">
        <v>20.849385339483504</v>
      </c>
      <c r="P139" s="2">
        <v>4</v>
      </c>
      <c r="Q139" t="s">
        <v>165</v>
      </c>
      <c r="R139" s="2">
        <v>10938.803104439285</v>
      </c>
      <c r="S139" s="2">
        <v>10704.626644041704</v>
      </c>
      <c r="T13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39" t="e">
        <f>Tableau1[[#This Row],[S2]]/Tableau1[[#This Row],[S1]]*SQRT(Tableau1[[#This Row],[rho1]]/Tableau1[[#This Row],[rho2]])*Tableau1[[#This Row],[J]]^(1/2)*Tableau1[[#This Row],[d2]]/Tableau1[[#This Row],[d1]]</f>
        <v>#DIV/0!</v>
      </c>
      <c r="V139" s="2">
        <v>0.47942629994398622</v>
      </c>
      <c r="W139" s="2">
        <v>0.34537471881474596</v>
      </c>
      <c r="X139" s="2">
        <v>0.67906255890132849</v>
      </c>
      <c r="Y139" s="2">
        <v>1.1794664292299073</v>
      </c>
      <c r="Z139" s="2">
        <v>16.60425741112541</v>
      </c>
      <c r="AA139" s="2">
        <v>28.84</v>
      </c>
      <c r="AB139">
        <f>Tableau1[[#This Row],[u2]]/Tableau1[[#This Row],[u1]]</f>
        <v>0.73180408487924065</v>
      </c>
      <c r="AC139">
        <f>ABS(Tableau1[[#This Row],[u2]]-Tableau1[[#This Row],[u1]])</f>
        <v>7.6410067890654716</v>
      </c>
      <c r="AD139">
        <f>(Tableau1[[#This Row],[d1]]+0.002)/Tableau1[[#This Row],[d2]]</f>
        <v>0.6</v>
      </c>
      <c r="AE139" t="e">
        <f>Tableau1[[#This Row],[S2]]*Tableau1[[#This Row],[u2]]/(Tableau1[[#This Row],[S1]]*Tableau1[[#This Row],[u1]])*(1-Tableau1[[#This Row],[ALPHA]]^3)/(1-Tableau1[[#This Row],[ALPHA]]^4)</f>
        <v>#DIV/0!</v>
      </c>
      <c r="AF139" s="1">
        <v>1</v>
      </c>
      <c r="AG139" s="1" t="s">
        <v>40</v>
      </c>
      <c r="AH139" s="2" t="s">
        <v>41</v>
      </c>
      <c r="AI139" t="s">
        <v>42</v>
      </c>
      <c r="AJ139" t="s">
        <v>42</v>
      </c>
      <c r="AK139">
        <v>20.033333333333331</v>
      </c>
      <c r="AL139" s="9">
        <v>23.5</v>
      </c>
      <c r="AM139">
        <v>2.5818883039054144</v>
      </c>
    </row>
    <row r="140" spans="1:39" x14ac:dyDescent="0.25">
      <c r="A140" s="2" t="s">
        <v>185</v>
      </c>
      <c r="B140" s="2">
        <v>10.064165470405571</v>
      </c>
      <c r="C140" s="2">
        <v>5.5714671819043149</v>
      </c>
      <c r="D140" s="2">
        <v>0.45079468504535919</v>
      </c>
      <c r="E140" s="2">
        <v>5.986805189356927</v>
      </c>
      <c r="F140" s="2">
        <v>0</v>
      </c>
      <c r="G140" s="2">
        <v>0</v>
      </c>
      <c r="H140" s="2">
        <v>5.6263201813728028E-4</v>
      </c>
      <c r="I140" s="2">
        <v>5.8791455459594726E-3</v>
      </c>
      <c r="J140" s="2">
        <v>8.3896010923687652E-5</v>
      </c>
      <c r="K140" s="2">
        <v>0</v>
      </c>
      <c r="L140" s="2">
        <v>0.01</v>
      </c>
      <c r="M140" s="2">
        <v>0.02</v>
      </c>
      <c r="N140" s="2">
        <v>18.162641364027856</v>
      </c>
      <c r="O140" s="2">
        <v>24.79127032591445</v>
      </c>
      <c r="P140" s="2">
        <v>4</v>
      </c>
      <c r="Q140" t="s">
        <v>165</v>
      </c>
      <c r="R140" s="2">
        <v>4484.1917271044667</v>
      </c>
      <c r="S140" s="2">
        <v>12728.494799693626</v>
      </c>
      <c r="T14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0" t="e">
        <f>Tableau1[[#This Row],[S2]]/Tableau1[[#This Row],[S1]]*SQRT(Tableau1[[#This Row],[rho1]]/Tableau1[[#This Row],[rho2]])*Tableau1[[#This Row],[J]]^(1/2)*Tableau1[[#This Row],[d2]]/Tableau1[[#This Row],[d1]]</f>
        <v>#DIV/0!</v>
      </c>
      <c r="V140" s="2">
        <v>0.36989377549921154</v>
      </c>
      <c r="W140" s="2">
        <v>0.16341037797960195</v>
      </c>
      <c r="X140" s="2">
        <v>0.39441693543833267</v>
      </c>
      <c r="Y140" s="2">
        <v>1.1794664292299075</v>
      </c>
      <c r="Z140" s="2">
        <v>9.6441781945997604</v>
      </c>
      <c r="AA140" s="2">
        <v>28.840000000000003</v>
      </c>
      <c r="AB140">
        <f>Tableau1[[#This Row],[u2]]/Tableau1[[#This Row],[u1]]</f>
        <v>1.3649595248307314</v>
      </c>
      <c r="AC140">
        <f>ABS(Tableau1[[#This Row],[u2]]-Tableau1[[#This Row],[u1]])</f>
        <v>6.6286289618865943</v>
      </c>
      <c r="AD140">
        <f>(Tableau1[[#This Row],[d1]]+0.002)/Tableau1[[#This Row],[d2]]</f>
        <v>0.6</v>
      </c>
      <c r="AE140" t="e">
        <f>Tableau1[[#This Row],[S2]]*Tableau1[[#This Row],[u2]]/(Tableau1[[#This Row],[S1]]*Tableau1[[#This Row],[u1]])*(1-Tableau1[[#This Row],[ALPHA]]^3)/(1-Tableau1[[#This Row],[ALPHA]]^4)</f>
        <v>#DIV/0!</v>
      </c>
      <c r="AF140" s="1">
        <v>1</v>
      </c>
      <c r="AG140" s="1" t="s">
        <v>40</v>
      </c>
      <c r="AH140" s="2" t="s">
        <v>41</v>
      </c>
      <c r="AI140" t="s">
        <v>42</v>
      </c>
      <c r="AJ140" t="s">
        <v>42</v>
      </c>
      <c r="AK140">
        <v>19.666666666666664</v>
      </c>
      <c r="AL140" s="9">
        <v>23.7</v>
      </c>
      <c r="AM140">
        <v>2.5898935707698927</v>
      </c>
    </row>
    <row r="141" spans="1:39" x14ac:dyDescent="0.25">
      <c r="A141" s="2" t="s">
        <v>183</v>
      </c>
      <c r="B141" s="2">
        <v>10.067702213562928</v>
      </c>
      <c r="C141" s="2">
        <v>1.2538574406694445</v>
      </c>
      <c r="D141" s="2">
        <v>0.39952004229035087</v>
      </c>
      <c r="E141" s="2">
        <v>1.9972947717113705</v>
      </c>
      <c r="F141" s="2">
        <v>0</v>
      </c>
      <c r="G141" s="2">
        <v>0</v>
      </c>
      <c r="H141" s="2">
        <v>1.5194203719029785E-3</v>
      </c>
      <c r="I141" s="2">
        <v>5.7408820533752444E-3</v>
      </c>
      <c r="J141" s="2">
        <v>8.3925493610894706E-5</v>
      </c>
      <c r="K141" s="2">
        <v>0</v>
      </c>
      <c r="L141" s="2">
        <v>0.01</v>
      </c>
      <c r="M141" s="2">
        <v>0.02</v>
      </c>
      <c r="N141" s="2">
        <v>28.495464848218869</v>
      </c>
      <c r="O141" s="2">
        <v>24.208238728199294</v>
      </c>
      <c r="P141" s="2">
        <v>4</v>
      </c>
      <c r="Q141" t="s">
        <v>165</v>
      </c>
      <c r="R141" s="2">
        <v>10938.604447976551</v>
      </c>
      <c r="S141" s="2">
        <v>12429.150935421487</v>
      </c>
      <c r="T14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1" t="e">
        <f>Tableau1[[#This Row],[S2]]/Tableau1[[#This Row],[S1]]*SQRT(Tableau1[[#This Row],[rho1]]/Tableau1[[#This Row],[rho2]])*Tableau1[[#This Row],[J]]^(1/2)*Tableau1[[#This Row],[d2]]/Tableau1[[#This Row],[d1]]</f>
        <v>#DIV/0!</v>
      </c>
      <c r="V141" s="2">
        <v>0.47935031041328752</v>
      </c>
      <c r="W141" s="2">
        <v>0.34525514812642549</v>
      </c>
      <c r="X141" s="2">
        <v>0.67891017496561479</v>
      </c>
      <c r="Y141" s="2">
        <v>1.1794664292299073</v>
      </c>
      <c r="Z141" s="2">
        <v>16.600531359584586</v>
      </c>
      <c r="AA141" s="2">
        <v>28.84</v>
      </c>
      <c r="AB141">
        <f>Tableau1[[#This Row],[u2]]/Tableau1[[#This Row],[u1]]</f>
        <v>0.84954707203916513</v>
      </c>
      <c r="AC141">
        <f>ABS(Tableau1[[#This Row],[u2]]-Tableau1[[#This Row],[u1]])</f>
        <v>4.2872261200195751</v>
      </c>
      <c r="AD141">
        <f>(Tableau1[[#This Row],[d1]]+0.002)/Tableau1[[#This Row],[d2]]</f>
        <v>0.6</v>
      </c>
      <c r="AE141" t="e">
        <f>Tableau1[[#This Row],[S2]]*Tableau1[[#This Row],[u2]]/(Tableau1[[#This Row],[S1]]*Tableau1[[#This Row],[u1]])*(1-Tableau1[[#This Row],[ALPHA]]^3)/(1-Tableau1[[#This Row],[ALPHA]]^4)</f>
        <v>#DIV/0!</v>
      </c>
      <c r="AF141" s="1">
        <v>1</v>
      </c>
      <c r="AG141" s="1" t="s">
        <v>40</v>
      </c>
      <c r="AH141" s="2" t="s">
        <v>41</v>
      </c>
      <c r="AI141" t="s">
        <v>42</v>
      </c>
      <c r="AJ141" t="s">
        <v>42</v>
      </c>
      <c r="AK141">
        <v>15.7</v>
      </c>
      <c r="AL141" s="9">
        <v>18.600000000000001</v>
      </c>
      <c r="AM141">
        <v>2.3198140251074113</v>
      </c>
    </row>
    <row r="142" spans="1:39" x14ac:dyDescent="0.25">
      <c r="A142" s="2" t="s">
        <v>166</v>
      </c>
      <c r="B142" s="2">
        <v>14.970148170902499</v>
      </c>
      <c r="C142" s="2">
        <v>1.2414859003879406</v>
      </c>
      <c r="D142" s="2">
        <v>0.40212934382993404</v>
      </c>
      <c r="E142" s="2">
        <v>2.0036970437028438</v>
      </c>
      <c r="F142" s="2">
        <v>0</v>
      </c>
      <c r="G142" s="2">
        <v>0</v>
      </c>
      <c r="H142" s="2">
        <v>2.2524786200460748E-3</v>
      </c>
      <c r="I142" s="2">
        <v>8.47397208213806E-3</v>
      </c>
      <c r="J142" s="2">
        <v>1.2479283236831027E-4</v>
      </c>
      <c r="K142" s="2">
        <v>0</v>
      </c>
      <c r="L142" s="2">
        <v>0.01</v>
      </c>
      <c r="M142" s="2">
        <v>0.02</v>
      </c>
      <c r="N142" s="2">
        <v>42.297645443805578</v>
      </c>
      <c r="O142" s="2">
        <v>35.733174315937397</v>
      </c>
      <c r="P142" s="2">
        <v>4</v>
      </c>
      <c r="Q142" t="s">
        <v>165</v>
      </c>
      <c r="R142" s="2">
        <v>16218.657553238416</v>
      </c>
      <c r="S142" s="2">
        <v>18346.358112255315</v>
      </c>
      <c r="T14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2" t="e">
        <f>Tableau1[[#This Row],[S2]]/Tableau1[[#This Row],[S1]]*SQRT(Tableau1[[#This Row],[rho1]]/Tableau1[[#This Row],[rho2]])*Tableau1[[#This Row],[J]]^(1/2)*Tableau1[[#This Row],[d2]]/Tableau1[[#This Row],[d1]]</f>
        <v>#DIV/0!</v>
      </c>
      <c r="V142" s="2">
        <v>0.47891628714721374</v>
      </c>
      <c r="W142" s="2">
        <v>0.34457203773133516</v>
      </c>
      <c r="X142" s="2">
        <v>0.67803888907323528</v>
      </c>
      <c r="Y142" s="2">
        <v>1.1794664292299073</v>
      </c>
      <c r="Z142" s="2">
        <v>16.579226908255155</v>
      </c>
      <c r="AA142" s="2">
        <v>28.84</v>
      </c>
      <c r="AB142">
        <f>Tableau1[[#This Row],[u2]]/Tableau1[[#This Row],[u1]]</f>
        <v>0.8448029184842123</v>
      </c>
      <c r="AC142">
        <f>ABS(Tableau1[[#This Row],[u2]]-Tableau1[[#This Row],[u1]])</f>
        <v>6.5644711278681811</v>
      </c>
      <c r="AD142">
        <f>(Tableau1[[#This Row],[d1]]+0.002)/Tableau1[[#This Row],[d2]]</f>
        <v>0.6</v>
      </c>
      <c r="AE142" t="e">
        <f>Tableau1[[#This Row],[S2]]*Tableau1[[#This Row],[u2]]/(Tableau1[[#This Row],[S1]]*Tableau1[[#This Row],[u1]])*(1-Tableau1[[#This Row],[ALPHA]]^3)/(1-Tableau1[[#This Row],[ALPHA]]^4)</f>
        <v>#DIV/0!</v>
      </c>
      <c r="AF142" s="1">
        <v>1</v>
      </c>
      <c r="AG142" s="1" t="s">
        <v>40</v>
      </c>
      <c r="AH142" s="2" t="s">
        <v>41</v>
      </c>
      <c r="AI142" t="s">
        <v>42</v>
      </c>
      <c r="AJ142" t="s">
        <v>42</v>
      </c>
      <c r="AK142">
        <v>13</v>
      </c>
      <c r="AL142" s="9">
        <v>15.8</v>
      </c>
      <c r="AM142">
        <v>1.9601500233692548</v>
      </c>
    </row>
    <row r="143" spans="1:39" x14ac:dyDescent="0.25">
      <c r="A143" s="2" t="s">
        <v>164</v>
      </c>
      <c r="B143" s="2">
        <v>6.4932433185918041</v>
      </c>
      <c r="C143" s="2">
        <v>1.2864097801456071</v>
      </c>
      <c r="D143" s="2">
        <v>0.396258441145104</v>
      </c>
      <c r="E143" s="2">
        <v>2.0024976588932719</v>
      </c>
      <c r="F143" s="2">
        <v>0</v>
      </c>
      <c r="G143" s="2">
        <v>0</v>
      </c>
      <c r="H143" s="2">
        <v>9.7755655778122754E-4</v>
      </c>
      <c r="I143" s="2">
        <v>3.7431291341781616E-3</v>
      </c>
      <c r="J143" s="2">
        <v>5.4128403789528216E-5</v>
      </c>
      <c r="K143" s="2">
        <v>0</v>
      </c>
      <c r="L143" s="2">
        <v>0.01</v>
      </c>
      <c r="M143" s="2">
        <v>0.02</v>
      </c>
      <c r="N143" s="2">
        <v>18.352405535064438</v>
      </c>
      <c r="O143" s="2">
        <v>15.784083844291445</v>
      </c>
      <c r="P143" s="2">
        <v>4</v>
      </c>
      <c r="Q143" t="s">
        <v>165</v>
      </c>
      <c r="R143" s="2">
        <v>7038.5460395789332</v>
      </c>
      <c r="S143" s="2">
        <v>8103.9666983092029</v>
      </c>
      <c r="T14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3" t="e">
        <f>Tableau1[[#This Row],[S2]]/Tableau1[[#This Row],[S1]]*SQRT(Tableau1[[#This Row],[rho1]]/Tableau1[[#This Row],[rho2]])*Tableau1[[#This Row],[J]]^(1/2)*Tableau1[[#This Row],[d2]]/Tableau1[[#This Row],[d1]]</f>
        <v>#DIV/0!</v>
      </c>
      <c r="V143" s="2">
        <v>0.47899743963279695</v>
      </c>
      <c r="W143" s="2">
        <v>0.34469978560600273</v>
      </c>
      <c r="X143" s="2">
        <v>0.67820191974516153</v>
      </c>
      <c r="Y143" s="2">
        <v>1.1794664292299073</v>
      </c>
      <c r="Z143" s="2">
        <v>16.583213290963329</v>
      </c>
      <c r="AA143" s="2">
        <v>28.84</v>
      </c>
      <c r="AB143">
        <f>Tableau1[[#This Row],[u2]]/Tableau1[[#This Row],[u1]]</f>
        <v>0.86005531068578933</v>
      </c>
      <c r="AC143">
        <f>ABS(Tableau1[[#This Row],[u2]]-Tableau1[[#This Row],[u1]])</f>
        <v>2.5683216907729935</v>
      </c>
      <c r="AD143">
        <f>(Tableau1[[#This Row],[d1]]+0.002)/Tableau1[[#This Row],[d2]]</f>
        <v>0.6</v>
      </c>
      <c r="AE143" t="e">
        <f>Tableau1[[#This Row],[S2]]*Tableau1[[#This Row],[u2]]/(Tableau1[[#This Row],[S1]]*Tableau1[[#This Row],[u1]])*(1-Tableau1[[#This Row],[ALPHA]]^3)/(1-Tableau1[[#This Row],[ALPHA]]^4)</f>
        <v>#DIV/0!</v>
      </c>
      <c r="AF143" s="1">
        <v>1</v>
      </c>
      <c r="AG143" s="1" t="s">
        <v>40</v>
      </c>
      <c r="AH143" s="2" t="s">
        <v>41</v>
      </c>
      <c r="AI143" t="s">
        <v>42</v>
      </c>
      <c r="AJ143" t="s">
        <v>42</v>
      </c>
      <c r="AK143">
        <v>18.466666666666665</v>
      </c>
      <c r="AL143" s="9">
        <v>22</v>
      </c>
      <c r="AM143">
        <v>2.7776915617401778</v>
      </c>
    </row>
    <row r="144" spans="1:39" x14ac:dyDescent="0.25">
      <c r="A144" s="2" t="s">
        <v>186</v>
      </c>
      <c r="B144" s="2">
        <v>10.066399503643899</v>
      </c>
      <c r="C144" s="2">
        <v>7.1691880507006092</v>
      </c>
      <c r="D144" s="2">
        <v>0.39962307457324125</v>
      </c>
      <c r="E144" s="2">
        <v>5.9529951266065444</v>
      </c>
      <c r="F144" s="2">
        <v>0</v>
      </c>
      <c r="G144" s="2">
        <v>0</v>
      </c>
      <c r="H144" s="2">
        <v>5.6547649749745131E-4</v>
      </c>
      <c r="I144" s="2">
        <v>6.6920364809036252E-3</v>
      </c>
      <c r="J144" s="2">
        <v>8.3914634075057511E-5</v>
      </c>
      <c r="K144" s="2">
        <v>0</v>
      </c>
      <c r="L144" s="2">
        <v>0.01</v>
      </c>
      <c r="M144" s="2">
        <v>0.02</v>
      </c>
      <c r="N144" s="2">
        <v>18.196031156660954</v>
      </c>
      <c r="O144" s="2">
        <v>28.219081179744389</v>
      </c>
      <c r="P144" s="2">
        <v>4</v>
      </c>
      <c r="Q144" t="s">
        <v>165</v>
      </c>
      <c r="R144" s="2">
        <v>4503.2691621360927</v>
      </c>
      <c r="S144" s="2">
        <v>14488.423680050353</v>
      </c>
      <c r="T14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4" t="e">
        <f>Tableau1[[#This Row],[S2]]/Tableau1[[#This Row],[S1]]*SQRT(Tableau1[[#This Row],[rho1]]/Tableau1[[#This Row],[rho2]])*Tableau1[[#This Row],[J]]^(1/2)*Tableau1[[#This Row],[d2]]/Tableau1[[#This Row],[d1]]</f>
        <v>#DIV/0!</v>
      </c>
      <c r="V144" s="2">
        <v>0.37027020472572914</v>
      </c>
      <c r="W144" s="2">
        <v>0.1640705108836685</v>
      </c>
      <c r="X144" s="2">
        <v>0.39568355980118575</v>
      </c>
      <c r="Y144" s="2">
        <v>1.1794664292299071</v>
      </c>
      <c r="Z144" s="2">
        <v>9.6751493572538205</v>
      </c>
      <c r="AA144" s="2">
        <v>28.839999999999996</v>
      </c>
      <c r="AB144">
        <f>Tableau1[[#This Row],[u2]]/Tableau1[[#This Row],[u1]]</f>
        <v>1.5508371543656285</v>
      </c>
      <c r="AC144">
        <f>ABS(Tableau1[[#This Row],[u2]]-Tableau1[[#This Row],[u1]])</f>
        <v>10.023050023083435</v>
      </c>
      <c r="AD144">
        <f>(Tableau1[[#This Row],[d1]]+0.002)/Tableau1[[#This Row],[d2]]</f>
        <v>0.6</v>
      </c>
      <c r="AE144" t="e">
        <f>Tableau1[[#This Row],[S2]]*Tableau1[[#This Row],[u2]]/(Tableau1[[#This Row],[S1]]*Tableau1[[#This Row],[u1]])*(1-Tableau1[[#This Row],[ALPHA]]^3)/(1-Tableau1[[#This Row],[ALPHA]]^4)</f>
        <v>#DIV/0!</v>
      </c>
      <c r="AF144" s="1">
        <v>1</v>
      </c>
      <c r="AG144" s="1" t="s">
        <v>40</v>
      </c>
      <c r="AH144" s="2" t="s">
        <v>41</v>
      </c>
      <c r="AI144" t="s">
        <v>42</v>
      </c>
      <c r="AJ144" t="s">
        <v>42</v>
      </c>
      <c r="AK144">
        <v>16</v>
      </c>
      <c r="AL144" s="9">
        <v>19.5</v>
      </c>
      <c r="AM144">
        <v>2.4399074254812492</v>
      </c>
    </row>
    <row r="145" spans="1:39" x14ac:dyDescent="0.25">
      <c r="A145" s="2" t="s">
        <v>179</v>
      </c>
      <c r="B145" s="2">
        <v>10.022084511836985</v>
      </c>
      <c r="C145" s="2">
        <v>0.13099628559997584</v>
      </c>
      <c r="D145" s="2">
        <v>0.35113235933564352</v>
      </c>
      <c r="E145" s="2">
        <v>2.0082749609968116</v>
      </c>
      <c r="F145" s="2">
        <v>0</v>
      </c>
      <c r="G145" s="2">
        <v>0</v>
      </c>
      <c r="H145" s="2">
        <v>1.5047227687006032E-3</v>
      </c>
      <c r="I145" s="2">
        <v>6.7071399116516118E-3</v>
      </c>
      <c r="J145" s="2">
        <v>8.3545219338421016E-5</v>
      </c>
      <c r="K145" s="2">
        <v>0</v>
      </c>
      <c r="L145" s="2">
        <v>6.0000000000000001E-3</v>
      </c>
      <c r="M145" s="2">
        <v>0.02</v>
      </c>
      <c r="N145" s="2">
        <v>78.561133001765342</v>
      </c>
      <c r="O145" s="2">
        <v>21.548776804691887</v>
      </c>
      <c r="P145" s="2">
        <v>4</v>
      </c>
      <c r="Q145" t="s">
        <v>165</v>
      </c>
      <c r="R145" s="2">
        <v>18059.666626665257</v>
      </c>
      <c r="S145" s="2">
        <v>16595.569119237669</v>
      </c>
      <c r="T14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5" t="e">
        <f>Tableau1[[#This Row],[S2]]/Tableau1[[#This Row],[S1]]*SQRT(Tableau1[[#This Row],[rho1]]/Tableau1[[#This Row],[rho2]])*Tableau1[[#This Row],[J]]^(1/2)*Tableau1[[#This Row],[d2]]/Tableau1[[#This Row],[d1]]</f>
        <v>#DIV/0!</v>
      </c>
      <c r="V145" s="2">
        <v>0.47860719694229792</v>
      </c>
      <c r="W145" s="2">
        <v>0.34408538527151217</v>
      </c>
      <c r="X145" s="2">
        <v>0.67741743834417556</v>
      </c>
      <c r="Y145" s="2">
        <v>1.1794664292299075</v>
      </c>
      <c r="Z145" s="2">
        <v>16.564031360012393</v>
      </c>
      <c r="AA145" s="2">
        <v>28.840000000000003</v>
      </c>
      <c r="AB145">
        <f>Tableau1[[#This Row],[u2]]/Tableau1[[#This Row],[u1]]</f>
        <v>0.27429310119811617</v>
      </c>
      <c r="AC145">
        <f>ABS(Tableau1[[#This Row],[u2]]-Tableau1[[#This Row],[u1]])</f>
        <v>57.012356197073458</v>
      </c>
      <c r="AD145">
        <f>(Tableau1[[#This Row],[d1]]+0.002)/Tableau1[[#This Row],[d2]]</f>
        <v>0.4</v>
      </c>
      <c r="AE145" t="e">
        <f>Tableau1[[#This Row],[S2]]*Tableau1[[#This Row],[u2]]/(Tableau1[[#This Row],[S1]]*Tableau1[[#This Row],[u1]])*(1-Tableau1[[#This Row],[ALPHA]]^3)/(1-Tableau1[[#This Row],[ALPHA]]^4)</f>
        <v>#DIV/0!</v>
      </c>
      <c r="AF145" s="1">
        <v>1</v>
      </c>
      <c r="AG145" s="1" t="s">
        <v>40</v>
      </c>
      <c r="AH145" s="2" t="s">
        <v>41</v>
      </c>
      <c r="AI145" t="s">
        <v>42</v>
      </c>
      <c r="AJ145" t="s">
        <v>42</v>
      </c>
      <c r="AK145">
        <v>12.866666666666667</v>
      </c>
      <c r="AL145" s="9">
        <v>16.3</v>
      </c>
      <c r="AM145">
        <v>2.342958276318333</v>
      </c>
    </row>
    <row r="146" spans="1:39" x14ac:dyDescent="0.25">
      <c r="A146" s="2" t="s">
        <v>181</v>
      </c>
      <c r="B146" s="2">
        <v>10.006834806688374</v>
      </c>
      <c r="C146" s="2">
        <v>0.71813641576256482</v>
      </c>
      <c r="D146" s="2">
        <v>0.35042370539306866</v>
      </c>
      <c r="E146" s="2">
        <v>5.9808283693622712</v>
      </c>
      <c r="F146" s="2">
        <v>0</v>
      </c>
      <c r="G146" s="2">
        <v>0</v>
      </c>
      <c r="H146" s="2">
        <v>5.5990266659100053E-4</v>
      </c>
      <c r="I146" s="2">
        <v>7.6558774614334107E-3</v>
      </c>
      <c r="J146" s="2">
        <v>8.3418096087765708E-5</v>
      </c>
      <c r="K146" s="2">
        <v>0</v>
      </c>
      <c r="L146" s="2">
        <v>6.0000000000000001E-3</v>
      </c>
      <c r="M146" s="2">
        <v>0.02</v>
      </c>
      <c r="N146" s="2">
        <v>50.178646416512649</v>
      </c>
      <c r="O146" s="2">
        <v>24.59689179495216</v>
      </c>
      <c r="P146" s="2">
        <v>4</v>
      </c>
      <c r="Q146" t="s">
        <v>165</v>
      </c>
      <c r="R146" s="2">
        <v>7436.3501954377416</v>
      </c>
      <c r="S146" s="2">
        <v>18943.043570466591</v>
      </c>
      <c r="T14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6" t="e">
        <f>Tableau1[[#This Row],[S2]]/Tableau1[[#This Row],[S1]]*SQRT(Tableau1[[#This Row],[rho1]]/Tableau1[[#This Row],[rho2]])*Tableau1[[#This Row],[J]]^(1/2)*Tableau1[[#This Row],[d2]]/Tableau1[[#This Row],[d1]]</f>
        <v>#DIV/0!</v>
      </c>
      <c r="V146" s="2">
        <v>0.36996004223428264</v>
      </c>
      <c r="W146" s="2">
        <v>0.16352660637783265</v>
      </c>
      <c r="X146" s="2">
        <v>0.39464009937885836</v>
      </c>
      <c r="Y146" s="2">
        <v>1.1794664292299071</v>
      </c>
      <c r="Z146" s="2">
        <v>9.6496349400274042</v>
      </c>
      <c r="AA146" s="2">
        <v>28.839999999999996</v>
      </c>
      <c r="AB146">
        <f>Tableau1[[#This Row],[u2]]/Tableau1[[#This Row],[u1]]</f>
        <v>0.49018643489868796</v>
      </c>
      <c r="AC146">
        <f>ABS(Tableau1[[#This Row],[u2]]-Tableau1[[#This Row],[u1]])</f>
        <v>25.581754621560489</v>
      </c>
      <c r="AD146">
        <f>(Tableau1[[#This Row],[d1]]+0.002)/Tableau1[[#This Row],[d2]]</f>
        <v>0.4</v>
      </c>
      <c r="AE146" t="e">
        <f>Tableau1[[#This Row],[S2]]*Tableau1[[#This Row],[u2]]/(Tableau1[[#This Row],[S1]]*Tableau1[[#This Row],[u1]])*(1-Tableau1[[#This Row],[ALPHA]]^3)/(1-Tableau1[[#This Row],[ALPHA]]^4)</f>
        <v>#DIV/0!</v>
      </c>
      <c r="AF146" s="1">
        <v>1</v>
      </c>
      <c r="AG146" s="1" t="s">
        <v>40</v>
      </c>
      <c r="AH146" s="2" t="s">
        <v>41</v>
      </c>
      <c r="AI146" t="s">
        <v>42</v>
      </c>
      <c r="AJ146" t="s">
        <v>42</v>
      </c>
      <c r="AK146">
        <v>15.466666666666667</v>
      </c>
      <c r="AL146" s="9">
        <v>20</v>
      </c>
      <c r="AM146">
        <v>2.876270021047211</v>
      </c>
    </row>
    <row r="147" spans="1:39" x14ac:dyDescent="0.25">
      <c r="A147" s="2" t="s">
        <v>180</v>
      </c>
      <c r="B147" s="2">
        <v>10.01173139616472</v>
      </c>
      <c r="C147" s="2">
        <v>7.5720141889301305</v>
      </c>
      <c r="D147" s="2">
        <v>0.35116224977971983</v>
      </c>
      <c r="E147" s="2">
        <v>65535</v>
      </c>
      <c r="F147" s="2">
        <v>0</v>
      </c>
      <c r="G147" s="2">
        <v>0</v>
      </c>
      <c r="H147" s="2">
        <v>8.3458914606241409E-5</v>
      </c>
      <c r="I147" s="2">
        <v>8.1192295074462885E-3</v>
      </c>
      <c r="J147" s="2">
        <v>8.3458914606241409E-5</v>
      </c>
      <c r="K147" s="2">
        <v>0</v>
      </c>
      <c r="L147" s="2">
        <v>6.0000000000000001E-3</v>
      </c>
      <c r="M147" s="2">
        <v>0.02</v>
      </c>
      <c r="N147" s="2">
        <v>35.90822721906347</v>
      </c>
      <c r="O147" s="2">
        <v>26.085554615923513</v>
      </c>
      <c r="P147" s="2">
        <v>4</v>
      </c>
      <c r="Q147" t="s">
        <v>165</v>
      </c>
      <c r="R147" s="2">
        <v>1990.618381427103</v>
      </c>
      <c r="S147" s="2">
        <v>20089.521951331826</v>
      </c>
      <c r="T14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7" t="e">
        <f>Tableau1[[#This Row],[S2]]/Tableau1[[#This Row],[S1]]*SQRT(Tableau1[[#This Row],[rho1]]/Tableau1[[#This Row],[rho2]])*Tableau1[[#This Row],[J]]^(1/2)*Tableau1[[#This Row],[d2]]/Tableau1[[#This Row],[d1]]</f>
        <v>#DIV/0!</v>
      </c>
      <c r="V147" s="2">
        <v>0.29577464788732394</v>
      </c>
      <c r="W147" s="2">
        <v>2.8301886792452827E-2</v>
      </c>
      <c r="X147" s="2">
        <v>8.2202757376980351E-2</v>
      </c>
      <c r="Y147" s="2">
        <v>1.1794664292299073</v>
      </c>
      <c r="Z147" s="2">
        <v>2.0099999999999998</v>
      </c>
      <c r="AA147" s="2">
        <v>28.84</v>
      </c>
      <c r="AB147">
        <f>Tableau1[[#This Row],[u2]]/Tableau1[[#This Row],[u1]]</f>
        <v>0.72645063920267394</v>
      </c>
      <c r="AC147">
        <f>ABS(Tableau1[[#This Row],[u2]]-Tableau1[[#This Row],[u1]])</f>
        <v>9.8226726031399565</v>
      </c>
      <c r="AD147">
        <f>(Tableau1[[#This Row],[d1]]+0.002)/Tableau1[[#This Row],[d2]]</f>
        <v>0.4</v>
      </c>
      <c r="AE147" t="e">
        <f>Tableau1[[#This Row],[S2]]*Tableau1[[#This Row],[u2]]/(Tableau1[[#This Row],[S1]]*Tableau1[[#This Row],[u1]])*(1-Tableau1[[#This Row],[ALPHA]]^3)/(1-Tableau1[[#This Row],[ALPHA]]^4)</f>
        <v>#DIV/0!</v>
      </c>
      <c r="AF147" s="1">
        <v>1</v>
      </c>
      <c r="AG147" s="1" t="s">
        <v>40</v>
      </c>
      <c r="AH147" s="2" t="s">
        <v>41</v>
      </c>
      <c r="AI147" t="s">
        <v>42</v>
      </c>
      <c r="AJ147" t="s">
        <v>42</v>
      </c>
      <c r="AK147">
        <v>15.733333333333334</v>
      </c>
      <c r="AL147" s="9">
        <v>20.3</v>
      </c>
      <c r="AM147">
        <v>2.9224401096667822</v>
      </c>
    </row>
    <row r="148" spans="1:39" x14ac:dyDescent="0.25">
      <c r="A148" s="2" t="s">
        <v>178</v>
      </c>
      <c r="B148" s="2">
        <v>10.024004294875555</v>
      </c>
      <c r="C148" s="2">
        <v>6.9736041076274055E-2</v>
      </c>
      <c r="D148" s="2">
        <v>0.45147380541608173</v>
      </c>
      <c r="E148" s="2">
        <v>2.0055375778312881</v>
      </c>
      <c r="F148" s="2">
        <v>0</v>
      </c>
      <c r="G148" s="2">
        <v>0</v>
      </c>
      <c r="H148" s="2">
        <v>1.5069511607425728E-3</v>
      </c>
      <c r="I148" s="2">
        <v>4.899594860076904E-3</v>
      </c>
      <c r="J148" s="2">
        <v>8.3561222864917922E-5</v>
      </c>
      <c r="K148" s="2">
        <v>0</v>
      </c>
      <c r="L148" s="2">
        <v>6.0000000000000001E-3</v>
      </c>
      <c r="M148" s="2">
        <v>0.02</v>
      </c>
      <c r="N148" s="2">
        <v>78.634359740852489</v>
      </c>
      <c r="O148" s="2">
        <v>15.741475124113519</v>
      </c>
      <c r="P148" s="2">
        <v>4</v>
      </c>
      <c r="Q148" t="s">
        <v>165</v>
      </c>
      <c r="R148" s="2">
        <v>18085.160110267447</v>
      </c>
      <c r="S148" s="2">
        <v>12123.135379271542</v>
      </c>
      <c r="T14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8" t="e">
        <f>Tableau1[[#This Row],[S2]]/Tableau1[[#This Row],[S1]]*SQRT(Tableau1[[#This Row],[rho1]]/Tableau1[[#This Row],[rho2]])*Tableau1[[#This Row],[J]]^(1/2)*Tableau1[[#This Row],[d2]]/Tableau1[[#This Row],[d1]]</f>
        <v>#DIV/0!</v>
      </c>
      <c r="V148" s="2">
        <v>0.47879189307802333</v>
      </c>
      <c r="W148" s="2">
        <v>0.34437620078546322</v>
      </c>
      <c r="X148" s="2">
        <v>0.67778888126616144</v>
      </c>
      <c r="Y148" s="2">
        <v>1.1794664292299073</v>
      </c>
      <c r="Z148" s="2">
        <v>16.573113783729248</v>
      </c>
      <c r="AA148" s="2">
        <v>28.84</v>
      </c>
      <c r="AB148">
        <f>Tableau1[[#This Row],[u2]]/Tableau1[[#This Row],[u1]]</f>
        <v>0.20018570986005541</v>
      </c>
      <c r="AC148">
        <f>ABS(Tableau1[[#This Row],[u2]]-Tableau1[[#This Row],[u1]])</f>
        <v>62.892884616738968</v>
      </c>
      <c r="AD148">
        <f>(Tableau1[[#This Row],[d1]]+0.002)/Tableau1[[#This Row],[d2]]</f>
        <v>0.4</v>
      </c>
      <c r="AE148" t="e">
        <f>Tableau1[[#This Row],[S2]]*Tableau1[[#This Row],[u2]]/(Tableau1[[#This Row],[S1]]*Tableau1[[#This Row],[u1]])*(1-Tableau1[[#This Row],[ALPHA]]^3)/(1-Tableau1[[#This Row],[ALPHA]]^4)</f>
        <v>#DIV/0!</v>
      </c>
      <c r="AF148" s="1">
        <v>1</v>
      </c>
      <c r="AG148" s="1" t="s">
        <v>40</v>
      </c>
      <c r="AH148" s="2" t="s">
        <v>41</v>
      </c>
      <c r="AI148" t="s">
        <v>42</v>
      </c>
      <c r="AJ148" t="s">
        <v>42</v>
      </c>
      <c r="AK148">
        <v>19.366666666666667</v>
      </c>
      <c r="AL148" s="9">
        <v>22.8</v>
      </c>
      <c r="AM148">
        <v>2.4945485407665462</v>
      </c>
    </row>
    <row r="149" spans="1:39" x14ac:dyDescent="0.25">
      <c r="A149" s="2" t="s">
        <v>177</v>
      </c>
      <c r="B149" s="2">
        <v>9.9362656391010677</v>
      </c>
      <c r="C149" s="2">
        <v>0.42854754400101797</v>
      </c>
      <c r="D149" s="2">
        <v>0.45084879812326273</v>
      </c>
      <c r="E149" s="2">
        <v>6.0914313717021713</v>
      </c>
      <c r="F149" s="2">
        <v>0</v>
      </c>
      <c r="G149" s="2">
        <v>0</v>
      </c>
      <c r="H149" s="2">
        <v>5.4736359130057094E-4</v>
      </c>
      <c r="I149" s="2">
        <v>5.811795630455017E-3</v>
      </c>
      <c r="J149" s="2">
        <v>8.2829823600375686E-5</v>
      </c>
      <c r="K149" s="2">
        <v>0</v>
      </c>
      <c r="L149" s="2">
        <v>6.0000000000000001E-3</v>
      </c>
      <c r="M149" s="2">
        <v>0.02</v>
      </c>
      <c r="N149" s="2">
        <v>49.567182314525645</v>
      </c>
      <c r="O149" s="2">
        <v>18.672204326257972</v>
      </c>
      <c r="P149" s="2">
        <v>4</v>
      </c>
      <c r="Q149" t="s">
        <v>165</v>
      </c>
      <c r="R149" s="2">
        <v>7288.730009009123</v>
      </c>
      <c r="S149" s="2">
        <v>14380.20637150376</v>
      </c>
      <c r="T14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9" t="e">
        <f>Tableau1[[#This Row],[S2]]/Tableau1[[#This Row],[S1]]*SQRT(Tableau1[[#This Row],[rho1]]/Tableau1[[#This Row],[rho2]])*Tableau1[[#This Row],[J]]^(1/2)*Tableau1[[#This Row],[d2]]/Tableau1[[#This Row],[d1]]</f>
        <v>#DIV/0!</v>
      </c>
      <c r="V149" s="2">
        <v>0.36875263466824287</v>
      </c>
      <c r="W149" s="2">
        <v>0.16140764427365639</v>
      </c>
      <c r="X149" s="2">
        <v>0.39056137619098585</v>
      </c>
      <c r="Y149" s="2">
        <v>1.1794664292299073</v>
      </c>
      <c r="Z149" s="2">
        <v>9.5499030834665994</v>
      </c>
      <c r="AA149" s="2">
        <v>28.84</v>
      </c>
      <c r="AB149">
        <f>Tableau1[[#This Row],[u2]]/Tableau1[[#This Row],[u1]]</f>
        <v>0.37670497805936587</v>
      </c>
      <c r="AC149">
        <f>ABS(Tableau1[[#This Row],[u2]]-Tableau1[[#This Row],[u1]])</f>
        <v>30.894977988267673</v>
      </c>
      <c r="AD149">
        <f>(Tableau1[[#This Row],[d1]]+0.002)/Tableau1[[#This Row],[d2]]</f>
        <v>0.4</v>
      </c>
      <c r="AE149" t="e">
        <f>Tableau1[[#This Row],[S2]]*Tableau1[[#This Row],[u2]]/(Tableau1[[#This Row],[S1]]*Tableau1[[#This Row],[u1]])*(1-Tableau1[[#This Row],[ALPHA]]^3)/(1-Tableau1[[#This Row],[ALPHA]]^4)</f>
        <v>#DIV/0!</v>
      </c>
      <c r="AF149" s="1">
        <v>1</v>
      </c>
      <c r="AG149" s="1" t="s">
        <v>40</v>
      </c>
      <c r="AH149" s="2" t="s">
        <v>41</v>
      </c>
      <c r="AI149" t="s">
        <v>42</v>
      </c>
      <c r="AJ149" t="s">
        <v>42</v>
      </c>
      <c r="AK149">
        <v>25.933333333333337</v>
      </c>
      <c r="AL149" s="9">
        <v>32.1</v>
      </c>
      <c r="AM149">
        <v>3.512305437322929</v>
      </c>
    </row>
    <row r="150" spans="1:39" x14ac:dyDescent="0.25">
      <c r="A150" s="2" t="s">
        <v>176</v>
      </c>
      <c r="B150" s="2">
        <v>9.942099265536708</v>
      </c>
      <c r="C150" s="2">
        <v>4.6620713945165733</v>
      </c>
      <c r="D150" s="2">
        <v>0.44753197739817552</v>
      </c>
      <c r="E150" s="2">
        <v>65535</v>
      </c>
      <c r="F150" s="2">
        <v>0</v>
      </c>
      <c r="G150" s="2">
        <v>0</v>
      </c>
      <c r="H150" s="2">
        <v>8.2878453363927212E-5</v>
      </c>
      <c r="I150" s="2">
        <v>6.3265577077865611E-3</v>
      </c>
      <c r="J150" s="2">
        <v>8.2878453363927212E-5</v>
      </c>
      <c r="K150" s="2">
        <v>0</v>
      </c>
      <c r="L150" s="2">
        <v>6.0000000000000001E-3</v>
      </c>
      <c r="M150" s="2">
        <v>0.02</v>
      </c>
      <c r="N150" s="2">
        <v>35.658483566402559</v>
      </c>
      <c r="O150" s="2">
        <v>20.326037891391621</v>
      </c>
      <c r="P150" s="2">
        <v>4</v>
      </c>
      <c r="Q150" t="s">
        <v>165</v>
      </c>
      <c r="R150" s="2">
        <v>1976.7735234618615</v>
      </c>
      <c r="S150" s="2">
        <v>15653.889304444754</v>
      </c>
      <c r="T15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0" t="e">
        <f>Tableau1[[#This Row],[S2]]/Tableau1[[#This Row],[S1]]*SQRT(Tableau1[[#This Row],[rho1]]/Tableau1[[#This Row],[rho2]])*Tableau1[[#This Row],[J]]^(1/2)*Tableau1[[#This Row],[d2]]/Tableau1[[#This Row],[d1]]</f>
        <v>#DIV/0!</v>
      </c>
      <c r="V150" s="2">
        <v>0.29577464788732394</v>
      </c>
      <c r="W150" s="2">
        <v>2.8301886792452824E-2</v>
      </c>
      <c r="X150" s="2">
        <v>8.2202757376980351E-2</v>
      </c>
      <c r="Y150" s="2">
        <v>1.1794664292299075</v>
      </c>
      <c r="Z150" s="2">
        <v>2.0099999999999998</v>
      </c>
      <c r="AA150" s="2">
        <v>28.840000000000003</v>
      </c>
      <c r="AB150">
        <f>Tableau1[[#This Row],[u2]]/Tableau1[[#This Row],[u1]]</f>
        <v>0.57001969401028663</v>
      </c>
      <c r="AC150">
        <f>ABS(Tableau1[[#This Row],[u2]]-Tableau1[[#This Row],[u1]])</f>
        <v>15.332445675010938</v>
      </c>
      <c r="AD150">
        <f>(Tableau1[[#This Row],[d1]]+0.002)/Tableau1[[#This Row],[d2]]</f>
        <v>0.4</v>
      </c>
      <c r="AE150" t="e">
        <f>Tableau1[[#This Row],[S2]]*Tableau1[[#This Row],[u2]]/(Tableau1[[#This Row],[S1]]*Tableau1[[#This Row],[u1]])*(1-Tableau1[[#This Row],[ALPHA]]^3)/(1-Tableau1[[#This Row],[ALPHA]]^4)</f>
        <v>#DIV/0!</v>
      </c>
      <c r="AF150" s="1">
        <v>1</v>
      </c>
      <c r="AG150" s="1" t="s">
        <v>40</v>
      </c>
      <c r="AH150" s="2" t="s">
        <v>41</v>
      </c>
      <c r="AI150" t="s">
        <v>42</v>
      </c>
      <c r="AJ150" t="s">
        <v>42</v>
      </c>
      <c r="AK150">
        <v>26.099999999999998</v>
      </c>
      <c r="AL150" s="9">
        <v>31.7</v>
      </c>
      <c r="AM150">
        <v>3.4932559244925652</v>
      </c>
    </row>
    <row r="151" spans="1:39" x14ac:dyDescent="0.25">
      <c r="A151" s="2" t="s">
        <v>175</v>
      </c>
      <c r="B151" s="2">
        <v>10.021970239037074</v>
      </c>
      <c r="C151" s="2">
        <v>9.4184287158245436E-2</v>
      </c>
      <c r="D151" s="2">
        <v>0.40152139405480869</v>
      </c>
      <c r="E151" s="2">
        <v>2.008313051196295</v>
      </c>
      <c r="F151" s="2">
        <v>0</v>
      </c>
      <c r="G151" s="2">
        <v>0</v>
      </c>
      <c r="H151" s="2">
        <v>1.5046786575785517E-3</v>
      </c>
      <c r="I151" s="2">
        <v>5.6870366477966309E-3</v>
      </c>
      <c r="J151" s="2">
        <v>8.3544266747558136E-5</v>
      </c>
      <c r="K151" s="2">
        <v>0</v>
      </c>
      <c r="L151" s="2">
        <v>6.0000000000000001E-3</v>
      </c>
      <c r="M151" s="2">
        <v>0.02</v>
      </c>
      <c r="N151" s="2">
        <v>78.559428987076245</v>
      </c>
      <c r="O151" s="2">
        <v>18.271377221545915</v>
      </c>
      <c r="P151" s="2">
        <v>4</v>
      </c>
      <c r="Q151" t="s">
        <v>165</v>
      </c>
      <c r="R151" s="2">
        <v>18059.154598590743</v>
      </c>
      <c r="S151" s="2">
        <v>14071.513493879984</v>
      </c>
      <c r="T15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1" t="e">
        <f>Tableau1[[#This Row],[S2]]/Tableau1[[#This Row],[S1]]*SQRT(Tableau1[[#This Row],[rho1]]/Tableau1[[#This Row],[rho2]])*Tableau1[[#This Row],[J]]^(1/2)*Tableau1[[#This Row],[d2]]/Tableau1[[#This Row],[d1]]</f>
        <v>#DIV/0!</v>
      </c>
      <c r="V151" s="2">
        <v>0.47860462955808797</v>
      </c>
      <c r="W151" s="2">
        <v>0.34408134240042404</v>
      </c>
      <c r="X151" s="2">
        <v>0.67741227305028207</v>
      </c>
      <c r="Y151" s="2">
        <v>1.1794664292299073</v>
      </c>
      <c r="Z151" s="2">
        <v>16.563905059617404</v>
      </c>
      <c r="AA151" s="2">
        <v>28.84</v>
      </c>
      <c r="AB151">
        <f>Tableau1[[#This Row],[u2]]/Tableau1[[#This Row],[u1]]</f>
        <v>0.23258032112926541</v>
      </c>
      <c r="AC151">
        <f>ABS(Tableau1[[#This Row],[u2]]-Tableau1[[#This Row],[u1]])</f>
        <v>60.288051765530327</v>
      </c>
      <c r="AD151">
        <f>(Tableau1[[#This Row],[d1]]+0.002)/Tableau1[[#This Row],[d2]]</f>
        <v>0.4</v>
      </c>
      <c r="AE151" t="e">
        <f>Tableau1[[#This Row],[S2]]*Tableau1[[#This Row],[u2]]/(Tableau1[[#This Row],[S1]]*Tableau1[[#This Row],[u1]])*(1-Tableau1[[#This Row],[ALPHA]]^3)/(1-Tableau1[[#This Row],[ALPHA]]^4)</f>
        <v>#DIV/0!</v>
      </c>
      <c r="AF151" s="1">
        <v>1</v>
      </c>
      <c r="AG151" s="1" t="s">
        <v>40</v>
      </c>
      <c r="AH151" s="2" t="s">
        <v>41</v>
      </c>
      <c r="AI151" t="s">
        <v>42</v>
      </c>
      <c r="AJ151" t="s">
        <v>42</v>
      </c>
      <c r="AK151">
        <v>16.433333333333334</v>
      </c>
      <c r="AL151" s="9">
        <v>20.3</v>
      </c>
      <c r="AM151">
        <v>2.5184432688349698</v>
      </c>
    </row>
    <row r="152" spans="1:39" x14ac:dyDescent="0.25">
      <c r="A152" s="2" t="s">
        <v>175</v>
      </c>
      <c r="B152" s="2">
        <v>10.021970239037074</v>
      </c>
      <c r="C152" s="2">
        <v>9.4184287158245436E-2</v>
      </c>
      <c r="D152" s="2">
        <v>0.40152139405480869</v>
      </c>
      <c r="E152" s="2">
        <v>2.008313051196295</v>
      </c>
      <c r="F152" s="2">
        <v>0</v>
      </c>
      <c r="G152" s="2">
        <v>0</v>
      </c>
      <c r="H152" s="2">
        <v>1.5046786575785517E-3</v>
      </c>
      <c r="I152" s="2">
        <v>5.6870366477966309E-3</v>
      </c>
      <c r="J152" s="2">
        <v>8.3544266747558136E-5</v>
      </c>
      <c r="K152" s="2">
        <v>0</v>
      </c>
      <c r="L152" s="2">
        <v>6.0000000000000001E-3</v>
      </c>
      <c r="M152" s="2">
        <v>0.02</v>
      </c>
      <c r="N152" s="2">
        <v>78.559428987076245</v>
      </c>
      <c r="O152" s="2">
        <v>18.271377221545915</v>
      </c>
      <c r="P152" s="2">
        <v>4</v>
      </c>
      <c r="Q152" t="s">
        <v>165</v>
      </c>
      <c r="R152" s="2">
        <v>18059.154598590743</v>
      </c>
      <c r="S152" s="2">
        <v>14071.513493879984</v>
      </c>
      <c r="T15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2" t="e">
        <f>Tableau1[[#This Row],[S2]]/Tableau1[[#This Row],[S1]]*SQRT(Tableau1[[#This Row],[rho1]]/Tableau1[[#This Row],[rho2]])*Tableau1[[#This Row],[J]]^(1/2)*Tableau1[[#This Row],[d2]]/Tableau1[[#This Row],[d1]]</f>
        <v>#DIV/0!</v>
      </c>
      <c r="V152" s="2">
        <v>0.47860462955808797</v>
      </c>
      <c r="W152" s="2">
        <v>0.34408134240042404</v>
      </c>
      <c r="X152" s="2">
        <v>0.67741227305028207</v>
      </c>
      <c r="Y152" s="2">
        <v>1.1794664292299073</v>
      </c>
      <c r="Z152" s="2">
        <v>16.563905059617404</v>
      </c>
      <c r="AA152" s="2">
        <v>28.84</v>
      </c>
      <c r="AB152">
        <f>Tableau1[[#This Row],[u2]]/Tableau1[[#This Row],[u1]]</f>
        <v>0.23258032112926541</v>
      </c>
      <c r="AC152">
        <f>ABS(Tableau1[[#This Row],[u2]]-Tableau1[[#This Row],[u1]])</f>
        <v>60.288051765530327</v>
      </c>
      <c r="AD152">
        <f>(Tableau1[[#This Row],[d1]]+0.002)/Tableau1[[#This Row],[d2]]</f>
        <v>0.4</v>
      </c>
      <c r="AE152" t="e">
        <f>Tableau1[[#This Row],[S2]]*Tableau1[[#This Row],[u2]]/(Tableau1[[#This Row],[S1]]*Tableau1[[#This Row],[u1]])*(1-Tableau1[[#This Row],[ALPHA]]^3)/(1-Tableau1[[#This Row],[ALPHA]]^4)</f>
        <v>#DIV/0!</v>
      </c>
      <c r="AF152" s="1">
        <v>1</v>
      </c>
      <c r="AG152" s="1" t="s">
        <v>40</v>
      </c>
      <c r="AH152" s="2" t="s">
        <v>41</v>
      </c>
      <c r="AI152" t="s">
        <v>42</v>
      </c>
      <c r="AJ152" t="s">
        <v>42</v>
      </c>
      <c r="AK152">
        <v>16.433333333333334</v>
      </c>
      <c r="AL152" s="9">
        <v>20.3</v>
      </c>
      <c r="AM152">
        <v>2.5184432688349698</v>
      </c>
    </row>
    <row r="153" spans="1:39" x14ac:dyDescent="0.25">
      <c r="A153" s="2" t="s">
        <v>174</v>
      </c>
      <c r="B153" s="2">
        <v>10.019616219358831</v>
      </c>
      <c r="C153" s="2">
        <v>0.1167509015836241</v>
      </c>
      <c r="D153" s="2">
        <v>0.40278683162709744</v>
      </c>
      <c r="E153" s="2">
        <v>2.2529402490045078</v>
      </c>
      <c r="F153" s="2">
        <v>0</v>
      </c>
      <c r="G153" s="2">
        <v>0</v>
      </c>
      <c r="H153" s="2">
        <v>1.3500528444789928E-3</v>
      </c>
      <c r="I153" s="2">
        <v>5.8176466941833498E-3</v>
      </c>
      <c r="J153" s="2">
        <v>8.3524643375782183E-5</v>
      </c>
      <c r="K153" s="2">
        <v>0</v>
      </c>
      <c r="L153" s="2">
        <v>6.0000000000000001E-3</v>
      </c>
      <c r="M153" s="2">
        <v>0.02</v>
      </c>
      <c r="N153" s="2">
        <v>73.914927489335426</v>
      </c>
      <c r="O153" s="2">
        <v>18.691002691583979</v>
      </c>
      <c r="P153" s="2">
        <v>4</v>
      </c>
      <c r="Q153" t="s">
        <v>165</v>
      </c>
      <c r="R153" s="2">
        <v>16304.898382342793</v>
      </c>
      <c r="S153" s="2">
        <v>14394.683739473367</v>
      </c>
      <c r="T15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3" t="e">
        <f>Tableau1[[#This Row],[S2]]/Tableau1[[#This Row],[S1]]*SQRT(Tableau1[[#This Row],[rho1]]/Tableau1[[#This Row],[rho2]])*Tableau1[[#This Row],[J]]^(1/2)*Tableau1[[#This Row],[d2]]/Tableau1[[#This Row],[d1]]</f>
        <v>#DIV/0!</v>
      </c>
      <c r="V153" s="2">
        <v>0.46348028681767828</v>
      </c>
      <c r="W153" s="2">
        <v>0.32008974467790319</v>
      </c>
      <c r="X153" s="2">
        <v>0.6459906481756249</v>
      </c>
      <c r="Y153" s="2">
        <v>1.1794664292299073</v>
      </c>
      <c r="Z153" s="2">
        <v>15.795591830069375</v>
      </c>
      <c r="AA153" s="2">
        <v>28.84</v>
      </c>
      <c r="AB153">
        <f>Tableau1[[#This Row],[u2]]/Tableau1[[#This Row],[u1]]</f>
        <v>0.25287182611767761</v>
      </c>
      <c r="AC153">
        <f>ABS(Tableau1[[#This Row],[u2]]-Tableau1[[#This Row],[u1]])</f>
        <v>55.223924797751451</v>
      </c>
      <c r="AD153">
        <f>(Tableau1[[#This Row],[d1]]+0.002)/Tableau1[[#This Row],[d2]]</f>
        <v>0.4</v>
      </c>
      <c r="AE153" t="e">
        <f>Tableau1[[#This Row],[S2]]*Tableau1[[#This Row],[u2]]/(Tableau1[[#This Row],[S1]]*Tableau1[[#This Row],[u1]])*(1-Tableau1[[#This Row],[ALPHA]]^3)/(1-Tableau1[[#This Row],[ALPHA]]^4)</f>
        <v>#DIV/0!</v>
      </c>
      <c r="AF153" s="1">
        <v>1</v>
      </c>
      <c r="AG153" s="1" t="s">
        <v>40</v>
      </c>
      <c r="AH153" s="2" t="s">
        <v>41</v>
      </c>
      <c r="AI153" t="s">
        <v>42</v>
      </c>
      <c r="AJ153" t="s">
        <v>42</v>
      </c>
      <c r="AK153">
        <v>17.700000000000003</v>
      </c>
      <c r="AL153" s="9">
        <v>21.5</v>
      </c>
      <c r="AM153">
        <v>2.6625372689542091</v>
      </c>
    </row>
    <row r="154" spans="1:39" x14ac:dyDescent="0.25">
      <c r="A154" s="2" t="s">
        <v>173</v>
      </c>
      <c r="B154" s="2">
        <v>10.031671999749832</v>
      </c>
      <c r="C154" s="2">
        <v>0.14216436204489105</v>
      </c>
      <c r="D154" s="2">
        <v>0.40284939807510328</v>
      </c>
      <c r="E154" s="2">
        <v>2.5074091183583702</v>
      </c>
      <c r="F154" s="2">
        <v>0</v>
      </c>
      <c r="G154" s="2">
        <v>0</v>
      </c>
      <c r="H154" s="2">
        <v>1.2229867306667447E-3</v>
      </c>
      <c r="I154" s="2">
        <v>5.9522355461120611E-3</v>
      </c>
      <c r="J154" s="2">
        <v>8.3625141711819213E-5</v>
      </c>
      <c r="K154" s="2">
        <v>0</v>
      </c>
      <c r="L154" s="2">
        <v>6.0000000000000001E-3</v>
      </c>
      <c r="M154" s="2">
        <v>0.02</v>
      </c>
      <c r="N154" s="2">
        <v>70.144918197064882</v>
      </c>
      <c r="O154" s="2">
        <v>19.123411314158446</v>
      </c>
      <c r="P154" s="2">
        <v>4</v>
      </c>
      <c r="Q154" t="s">
        <v>165</v>
      </c>
      <c r="R154" s="2">
        <v>14868.155366933101</v>
      </c>
      <c r="S154" s="2">
        <v>14727.698798691321</v>
      </c>
      <c r="T15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4" t="e">
        <f>Tableau1[[#This Row],[S2]]/Tableau1[[#This Row],[S1]]*SQRT(Tableau1[[#This Row],[rho1]]/Tableau1[[#This Row],[rho2]])*Tableau1[[#This Row],[J]]^(1/2)*Tableau1[[#This Row],[d2]]/Tableau1[[#This Row],[d1]]</f>
        <v>#DIV/0!</v>
      </c>
      <c r="V154" s="2">
        <v>0.45019239097671249</v>
      </c>
      <c r="W154" s="2">
        <v>0.29871809997546034</v>
      </c>
      <c r="X154" s="2">
        <v>0.61664206846294256</v>
      </c>
      <c r="Y154" s="2">
        <v>1.1794664292299073</v>
      </c>
      <c r="Z154" s="2">
        <v>15.077968150465033</v>
      </c>
      <c r="AA154" s="2">
        <v>28.84</v>
      </c>
      <c r="AB154">
        <f>Tableau1[[#This Row],[u2]]/Tableau1[[#This Row],[u1]]</f>
        <v>0.27262718106582151</v>
      </c>
      <c r="AC154">
        <f>ABS(Tableau1[[#This Row],[u2]]-Tableau1[[#This Row],[u1]])</f>
        <v>51.021506882906436</v>
      </c>
      <c r="AD154">
        <f>(Tableau1[[#This Row],[d1]]+0.002)/Tableau1[[#This Row],[d2]]</f>
        <v>0.4</v>
      </c>
      <c r="AE154" t="e">
        <f>Tableau1[[#This Row],[S2]]*Tableau1[[#This Row],[u2]]/(Tableau1[[#This Row],[S1]]*Tableau1[[#This Row],[u1]])*(1-Tableau1[[#This Row],[ALPHA]]^3)/(1-Tableau1[[#This Row],[ALPHA]]^4)</f>
        <v>#DIV/0!</v>
      </c>
      <c r="AF154" s="1">
        <v>1</v>
      </c>
      <c r="AG154" s="1" t="s">
        <v>40</v>
      </c>
      <c r="AH154" s="2" t="s">
        <v>41</v>
      </c>
      <c r="AI154" t="s">
        <v>42</v>
      </c>
      <c r="AJ154" t="s">
        <v>42</v>
      </c>
      <c r="AK154">
        <v>19.633333333333333</v>
      </c>
      <c r="AL154" s="9">
        <v>23</v>
      </c>
      <c r="AM154">
        <v>2.8478124451681759</v>
      </c>
    </row>
    <row r="155" spans="1:39" x14ac:dyDescent="0.25">
      <c r="A155" s="2" t="s">
        <v>168</v>
      </c>
      <c r="B155" s="2">
        <v>15.024256341662102</v>
      </c>
      <c r="C155" s="2">
        <v>9.6466029737017359E-2</v>
      </c>
      <c r="D155" s="2">
        <v>0.39829570127686464</v>
      </c>
      <c r="E155" s="2">
        <v>2.0121636728116132</v>
      </c>
      <c r="F155" s="2">
        <v>0</v>
      </c>
      <c r="G155" s="2">
        <v>0</v>
      </c>
      <c r="H155" s="2">
        <v>2.2516349158839943E-3</v>
      </c>
      <c r="I155" s="2">
        <v>8.6159965324401847E-3</v>
      </c>
      <c r="J155" s="2">
        <v>1.2524388414189816E-4</v>
      </c>
      <c r="K155" s="2">
        <v>0</v>
      </c>
      <c r="L155" s="2">
        <v>6.0000000000000001E-3</v>
      </c>
      <c r="M155" s="2">
        <v>0.02</v>
      </c>
      <c r="N155" s="2">
        <v>117.64869988546758</v>
      </c>
      <c r="O155" s="2">
        <v>27.681573468449322</v>
      </c>
      <c r="P155" s="2">
        <v>4</v>
      </c>
      <c r="Q155" t="s">
        <v>165</v>
      </c>
      <c r="R155" s="2">
        <v>27026.756062672837</v>
      </c>
      <c r="S155" s="2">
        <v>21318.679477198046</v>
      </c>
      <c r="T15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5" t="e">
        <f>Tableau1[[#This Row],[S2]]/Tableau1[[#This Row],[S1]]*SQRT(Tableau1[[#This Row],[rho1]]/Tableau1[[#This Row],[rho2]])*Tableau1[[#This Row],[J]]^(1/2)*Tableau1[[#This Row],[d2]]/Tableau1[[#This Row],[d1]]</f>
        <v>#DIV/0!</v>
      </c>
      <c r="V155" s="2">
        <v>0.47834545862458394</v>
      </c>
      <c r="W155" s="2">
        <v>0.34367317322075464</v>
      </c>
      <c r="X155" s="2">
        <v>0.67689056440460871</v>
      </c>
      <c r="Y155" s="2">
        <v>1.1794664292299073</v>
      </c>
      <c r="Z155" s="2">
        <v>16.551148378317841</v>
      </c>
      <c r="AA155" s="2">
        <v>28.84</v>
      </c>
      <c r="AB155">
        <f>Tableau1[[#This Row],[u2]]/Tableau1[[#This Row],[u1]]</f>
        <v>0.23529009241409099</v>
      </c>
      <c r="AC155">
        <f>ABS(Tableau1[[#This Row],[u2]]-Tableau1[[#This Row],[u1]])</f>
        <v>89.96712641701825</v>
      </c>
      <c r="AD155">
        <f>(Tableau1[[#This Row],[d1]]+0.002)/Tableau1[[#This Row],[d2]]</f>
        <v>0.4</v>
      </c>
      <c r="AE155" t="e">
        <f>Tableau1[[#This Row],[S2]]*Tableau1[[#This Row],[u2]]/(Tableau1[[#This Row],[S1]]*Tableau1[[#This Row],[u1]])*(1-Tableau1[[#This Row],[ALPHA]]^3)/(1-Tableau1[[#This Row],[ALPHA]]^4)</f>
        <v>#DIV/0!</v>
      </c>
      <c r="AF155" s="1">
        <v>1</v>
      </c>
      <c r="AG155" s="1" t="s">
        <v>40</v>
      </c>
      <c r="AH155" s="2" t="s">
        <v>41</v>
      </c>
      <c r="AI155" t="s">
        <v>42</v>
      </c>
      <c r="AJ155" t="s">
        <v>42</v>
      </c>
      <c r="AK155">
        <v>12.866666666666667</v>
      </c>
      <c r="AL155" s="9">
        <v>15.9</v>
      </c>
      <c r="AM155">
        <v>1.9974718971048606</v>
      </c>
    </row>
    <row r="156" spans="1:39" x14ac:dyDescent="0.25">
      <c r="A156" s="2" t="s">
        <v>167</v>
      </c>
      <c r="B156" s="2">
        <v>5.0106051624588197</v>
      </c>
      <c r="C156" s="2">
        <v>9.4816766149402348E-2</v>
      </c>
      <c r="D156" s="2">
        <v>0.40256175238232822</v>
      </c>
      <c r="E156" s="2">
        <v>2.0216738167276618</v>
      </c>
      <c r="F156" s="2">
        <v>0</v>
      </c>
      <c r="G156" s="2">
        <v>0</v>
      </c>
      <c r="H156" s="2">
        <v>7.4758666782571883E-4</v>
      </c>
      <c r="I156" s="2">
        <v>2.8388140439987186E-3</v>
      </c>
      <c r="J156" s="2">
        <v>4.1768966009159889E-5</v>
      </c>
      <c r="K156" s="2">
        <v>0</v>
      </c>
      <c r="L156" s="2">
        <v>6.0000000000000001E-3</v>
      </c>
      <c r="M156" s="2">
        <v>0.02</v>
      </c>
      <c r="N156" s="2">
        <v>39.135932271969224</v>
      </c>
      <c r="O156" s="2">
        <v>9.1205746458164327</v>
      </c>
      <c r="P156" s="2">
        <v>4</v>
      </c>
      <c r="Q156" t="s">
        <v>165</v>
      </c>
      <c r="R156" s="2">
        <v>8975.5694504921357</v>
      </c>
      <c r="S156" s="2">
        <v>7024.1168820708581</v>
      </c>
      <c r="T15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6" t="e">
        <f>Tableau1[[#This Row],[S2]]/Tableau1[[#This Row],[S1]]*SQRT(Tableau1[[#This Row],[rho1]]/Tableau1[[#This Row],[rho2]])*Tableau1[[#This Row],[J]]^(1/2)*Tableau1[[#This Row],[d2]]/Tableau1[[#This Row],[d1]]</f>
        <v>#DIV/0!</v>
      </c>
      <c r="V156" s="2">
        <v>0.47770850377870094</v>
      </c>
      <c r="W156" s="2">
        <v>0.34266959665209468</v>
      </c>
      <c r="X156" s="2">
        <v>0.67560597507632747</v>
      </c>
      <c r="Y156" s="2">
        <v>1.1794664292299073</v>
      </c>
      <c r="Z156" s="2">
        <v>16.519737941098512</v>
      </c>
      <c r="AA156" s="2">
        <v>28.84</v>
      </c>
      <c r="AB156">
        <f>Tableau1[[#This Row],[u2]]/Tableau1[[#This Row],[u1]]</f>
        <v>0.23304861073538208</v>
      </c>
      <c r="AC156">
        <f>ABS(Tableau1[[#This Row],[u2]]-Tableau1[[#This Row],[u1]])</f>
        <v>30.015357626152792</v>
      </c>
      <c r="AD156">
        <f>(Tableau1[[#This Row],[d1]]+0.002)/Tableau1[[#This Row],[d2]]</f>
        <v>0.4</v>
      </c>
      <c r="AE156" t="e">
        <f>Tableau1[[#This Row],[S2]]*Tableau1[[#This Row],[u2]]/(Tableau1[[#This Row],[S1]]*Tableau1[[#This Row],[u1]])*(1-Tableau1[[#This Row],[ALPHA]]^3)/(1-Tableau1[[#This Row],[ALPHA]]^4)</f>
        <v>#DIV/0!</v>
      </c>
      <c r="AF156" s="1">
        <v>1</v>
      </c>
      <c r="AG156" s="1" t="s">
        <v>40</v>
      </c>
      <c r="AH156" s="2" t="s">
        <v>41</v>
      </c>
      <c r="AI156" t="s">
        <v>42</v>
      </c>
      <c r="AJ156" t="s">
        <v>42</v>
      </c>
      <c r="AK156">
        <v>30.766666666666666</v>
      </c>
      <c r="AL156" s="9">
        <v>36.1</v>
      </c>
      <c r="AM156">
        <v>4.4691858616240596</v>
      </c>
    </row>
    <row r="157" spans="1:39" x14ac:dyDescent="0.25">
      <c r="A157" s="2" t="s">
        <v>172</v>
      </c>
      <c r="B157" s="2">
        <v>10.034328842347847</v>
      </c>
      <c r="C157" s="2">
        <v>0.19687759234742011</v>
      </c>
      <c r="D157" s="2">
        <v>0.39939527898228616</v>
      </c>
      <c r="E157" s="2">
        <v>2.990050924286765</v>
      </c>
      <c r="F157" s="2">
        <v>0</v>
      </c>
      <c r="G157" s="2">
        <v>0</v>
      </c>
      <c r="H157" s="2">
        <v>1.0393508316818951E-3</v>
      </c>
      <c r="I157" s="2">
        <v>6.1991187858581528E-3</v>
      </c>
      <c r="J157" s="2">
        <v>8.3647289449381842E-5</v>
      </c>
      <c r="K157" s="2">
        <v>0</v>
      </c>
      <c r="L157" s="2">
        <v>6.0000000000000001E-3</v>
      </c>
      <c r="M157" s="2">
        <v>0.02</v>
      </c>
      <c r="N157" s="2">
        <v>64.647232735263657</v>
      </c>
      <c r="O157" s="2">
        <v>19.916600646748012</v>
      </c>
      <c r="P157" s="2">
        <v>4</v>
      </c>
      <c r="Q157" t="s">
        <v>165</v>
      </c>
      <c r="R157" s="2">
        <v>12796.919335356457</v>
      </c>
      <c r="S157" s="2">
        <v>15338.565415991196</v>
      </c>
      <c r="T15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7" t="e">
        <f>Tableau1[[#This Row],[S2]]/Tableau1[[#This Row],[S1]]*SQRT(Tableau1[[#This Row],[rho1]]/Tableau1[[#This Row],[rho2]])*Tableau1[[#This Row],[J]]^(1/2)*Tableau1[[#This Row],[d2]]/Tableau1[[#This Row],[d1]]</f>
        <v>#DIV/0!</v>
      </c>
      <c r="V157" s="2">
        <v>0.43001835611414202</v>
      </c>
      <c r="W157" s="2">
        <v>0.26573427829439128</v>
      </c>
      <c r="X157" s="2">
        <v>0.56861700878553623</v>
      </c>
      <c r="Y157" s="2">
        <v>1.1794664292299073</v>
      </c>
      <c r="Z157" s="2">
        <v>13.903672141039218</v>
      </c>
      <c r="AA157" s="2">
        <v>28.84</v>
      </c>
      <c r="AB157">
        <f>Tableau1[[#This Row],[u2]]/Tableau1[[#This Row],[u1]]</f>
        <v>0.3080812558258807</v>
      </c>
      <c r="AC157">
        <f>ABS(Tableau1[[#This Row],[u2]]-Tableau1[[#This Row],[u1]])</f>
        <v>44.730632088515648</v>
      </c>
      <c r="AD157">
        <f>(Tableau1[[#This Row],[d1]]+0.002)/Tableau1[[#This Row],[d2]]</f>
        <v>0.4</v>
      </c>
      <c r="AE157" t="e">
        <f>Tableau1[[#This Row],[S2]]*Tableau1[[#This Row],[u2]]/(Tableau1[[#This Row],[S1]]*Tableau1[[#This Row],[u1]])*(1-Tableau1[[#This Row],[ALPHA]]^3)/(1-Tableau1[[#This Row],[ALPHA]]^4)</f>
        <v>#DIV/0!</v>
      </c>
      <c r="AF157" s="1">
        <v>1</v>
      </c>
      <c r="AG157" s="1" t="s">
        <v>40</v>
      </c>
      <c r="AH157" s="2" t="s">
        <v>41</v>
      </c>
      <c r="AI157" t="s">
        <v>42</v>
      </c>
      <c r="AJ157" t="s">
        <v>42</v>
      </c>
      <c r="AK157">
        <v>19.8</v>
      </c>
      <c r="AL157" s="9">
        <v>24.3</v>
      </c>
      <c r="AM157">
        <v>3.0330349636817835</v>
      </c>
    </row>
    <row r="158" spans="1:39" x14ac:dyDescent="0.25">
      <c r="A158" s="2" t="s">
        <v>171</v>
      </c>
      <c r="B158" s="2">
        <v>10.035522993106955</v>
      </c>
      <c r="C158" s="2">
        <v>0.25327486068125965</v>
      </c>
      <c r="D158" s="2">
        <v>0.39954179473291879</v>
      </c>
      <c r="E158" s="2">
        <v>3.4948440033782751</v>
      </c>
      <c r="F158" s="2">
        <v>0</v>
      </c>
      <c r="G158" s="2">
        <v>0</v>
      </c>
      <c r="H158" s="2">
        <v>9.0141687231979771E-4</v>
      </c>
      <c r="I158" s="2">
        <v>6.3352901172637945E-3</v>
      </c>
      <c r="J158" s="2">
        <v>8.3657244023899261E-5</v>
      </c>
      <c r="K158" s="2">
        <v>0</v>
      </c>
      <c r="L158" s="2">
        <v>6.0000000000000001E-3</v>
      </c>
      <c r="M158" s="2">
        <v>0.02</v>
      </c>
      <c r="N158" s="2">
        <v>60.515096184282967</v>
      </c>
      <c r="O158" s="2">
        <v>20.354093477717651</v>
      </c>
      <c r="P158" s="2">
        <v>4</v>
      </c>
      <c r="Q158" t="s">
        <v>165</v>
      </c>
      <c r="R158" s="2">
        <v>11247.311109766246</v>
      </c>
      <c r="S158" s="2">
        <v>15675.496026082561</v>
      </c>
      <c r="T15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8" t="e">
        <f>Tableau1[[#This Row],[S2]]/Tableau1[[#This Row],[S1]]*SQRT(Tableau1[[#This Row],[rho1]]/Tableau1[[#This Row],[rho2]])*Tableau1[[#This Row],[J]]^(1/2)*Tableau1[[#This Row],[d2]]/Tableau1[[#This Row],[d1]]</f>
        <v>#DIV/0!</v>
      </c>
      <c r="V158" s="2">
        <v>0.41388018617992461</v>
      </c>
      <c r="W158" s="2">
        <v>0.23887141917878488</v>
      </c>
      <c r="X158" s="2">
        <v>0.5268288780161805</v>
      </c>
      <c r="Y158" s="2">
        <v>1.1794664292299071</v>
      </c>
      <c r="Z158" s="2">
        <v>12.881879861478454</v>
      </c>
      <c r="AA158" s="2">
        <v>28.839999999999996</v>
      </c>
      <c r="AB158">
        <f>Tableau1[[#This Row],[u2]]/Tableau1[[#This Row],[u1]]</f>
        <v>0.33634737050957597</v>
      </c>
      <c r="AC158">
        <f>ABS(Tableau1[[#This Row],[u2]]-Tableau1[[#This Row],[u1]])</f>
        <v>40.161002706565313</v>
      </c>
      <c r="AD158">
        <f>(Tableau1[[#This Row],[d1]]+0.002)/Tableau1[[#This Row],[d2]]</f>
        <v>0.4</v>
      </c>
      <c r="AE158" t="e">
        <f>Tableau1[[#This Row],[S2]]*Tableau1[[#This Row],[u2]]/(Tableau1[[#This Row],[S1]]*Tableau1[[#This Row],[u1]])*(1-Tableau1[[#This Row],[ALPHA]]^3)/(1-Tableau1[[#This Row],[ALPHA]]^4)</f>
        <v>#DIV/0!</v>
      </c>
      <c r="AF158" s="1">
        <v>1</v>
      </c>
      <c r="AG158" s="1" t="s">
        <v>40</v>
      </c>
      <c r="AH158" s="2" t="s">
        <v>41</v>
      </c>
      <c r="AI158" t="s">
        <v>42</v>
      </c>
      <c r="AJ158" t="s">
        <v>42</v>
      </c>
      <c r="AK158">
        <v>20.566666666666666</v>
      </c>
      <c r="AL158" s="9">
        <v>25</v>
      </c>
      <c r="AM158">
        <v>3.1276064578342582</v>
      </c>
    </row>
    <row r="159" spans="1:39" x14ac:dyDescent="0.25">
      <c r="A159" s="2" t="s">
        <v>170</v>
      </c>
      <c r="B159" s="2">
        <v>10.002292462891766</v>
      </c>
      <c r="C159" s="2">
        <v>0.53843234772770032</v>
      </c>
      <c r="D159" s="2">
        <v>0.39974425937655028</v>
      </c>
      <c r="E159" s="2">
        <v>5.9480458113017072</v>
      </c>
      <c r="F159" s="2">
        <v>0</v>
      </c>
      <c r="G159" s="2">
        <v>0</v>
      </c>
      <c r="H159" s="2">
        <v>5.6227345817817462E-4</v>
      </c>
      <c r="I159" s="2">
        <v>6.646859774589539E-3</v>
      </c>
      <c r="J159" s="2">
        <v>8.3380230600965045E-5</v>
      </c>
      <c r="K159" s="2">
        <v>0</v>
      </c>
      <c r="L159" s="2">
        <v>6.0000000000000001E-3</v>
      </c>
      <c r="M159" s="2">
        <v>0.02</v>
      </c>
      <c r="N159" s="2">
        <v>50.234581350159651</v>
      </c>
      <c r="O159" s="2">
        <v>21.355108082044502</v>
      </c>
      <c r="P159" s="2">
        <v>4</v>
      </c>
      <c r="Q159" t="s">
        <v>165</v>
      </c>
      <c r="R159" s="2">
        <v>7462.0630678971365</v>
      </c>
      <c r="S159" s="2">
        <v>16446.417141746802</v>
      </c>
      <c r="T15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9" t="e">
        <f>Tableau1[[#This Row],[S2]]/Tableau1[[#This Row],[S1]]*SQRT(Tableau1[[#This Row],[rho1]]/Tableau1[[#This Row],[rho2]])*Tableau1[[#This Row],[J]]^(1/2)*Tableau1[[#This Row],[d2]]/Tableau1[[#This Row],[d1]]</f>
        <v>#DIV/0!</v>
      </c>
      <c r="V159" s="2">
        <v>0.37032562970624255</v>
      </c>
      <c r="W159" s="2">
        <v>0.16416768666288525</v>
      </c>
      <c r="X159" s="2">
        <v>0.39586983854652813</v>
      </c>
      <c r="Y159" s="2">
        <v>1.1794664292299075</v>
      </c>
      <c r="Z159" s="2">
        <v>9.6797041956812109</v>
      </c>
      <c r="AA159" s="2">
        <v>28.840000000000003</v>
      </c>
      <c r="AB159">
        <f>Tableau1[[#This Row],[u2]]/Tableau1[[#This Row],[u1]]</f>
        <v>0.42510771480683662</v>
      </c>
      <c r="AC159">
        <f>ABS(Tableau1[[#This Row],[u2]]-Tableau1[[#This Row],[u1]])</f>
        <v>28.879473268115149</v>
      </c>
      <c r="AD159">
        <f>(Tableau1[[#This Row],[d1]]+0.002)/Tableau1[[#This Row],[d2]]</f>
        <v>0.4</v>
      </c>
      <c r="AE159" t="e">
        <f>Tableau1[[#This Row],[S2]]*Tableau1[[#This Row],[u2]]/(Tableau1[[#This Row],[S1]]*Tableau1[[#This Row],[u1]])*(1-Tableau1[[#This Row],[ALPHA]]^3)/(1-Tableau1[[#This Row],[ALPHA]]^4)</f>
        <v>#DIV/0!</v>
      </c>
      <c r="AF159" s="1">
        <v>1</v>
      </c>
      <c r="AG159" s="1" t="s">
        <v>40</v>
      </c>
      <c r="AH159" s="2" t="s">
        <v>41</v>
      </c>
      <c r="AI159" t="s">
        <v>42</v>
      </c>
      <c r="AJ159" t="s">
        <v>42</v>
      </c>
      <c r="AK159">
        <v>20.8</v>
      </c>
      <c r="AL159" s="9">
        <v>25.8</v>
      </c>
      <c r="AM159">
        <v>3.2257721870533276</v>
      </c>
    </row>
    <row r="160" spans="1:39" x14ac:dyDescent="0.25">
      <c r="A160" s="2" t="s">
        <v>170</v>
      </c>
      <c r="B160" s="2">
        <v>10.002292462891766</v>
      </c>
      <c r="C160" s="2">
        <v>0.53843234772770032</v>
      </c>
      <c r="D160" s="2">
        <v>0.39974425937655028</v>
      </c>
      <c r="E160" s="2">
        <v>5.9480458113017072</v>
      </c>
      <c r="F160" s="2">
        <v>0</v>
      </c>
      <c r="G160" s="2">
        <v>0</v>
      </c>
      <c r="H160" s="2">
        <v>5.6227345817817462E-4</v>
      </c>
      <c r="I160" s="2">
        <v>6.646859774589539E-3</v>
      </c>
      <c r="J160" s="2">
        <v>8.3380230600965045E-5</v>
      </c>
      <c r="K160" s="2">
        <v>0</v>
      </c>
      <c r="L160" s="2">
        <v>6.0000000000000001E-3</v>
      </c>
      <c r="M160" s="2">
        <v>0.02</v>
      </c>
      <c r="N160" s="2">
        <v>50.234581350159651</v>
      </c>
      <c r="O160" s="2">
        <v>21.355108082044502</v>
      </c>
      <c r="P160" s="2">
        <v>4</v>
      </c>
      <c r="Q160" t="s">
        <v>165</v>
      </c>
      <c r="R160" s="2">
        <v>7462.0630678971365</v>
      </c>
      <c r="S160" s="2">
        <v>16446.417141746802</v>
      </c>
      <c r="T16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60" t="e">
        <f>Tableau1[[#This Row],[S2]]/Tableau1[[#This Row],[S1]]*SQRT(Tableau1[[#This Row],[rho1]]/Tableau1[[#This Row],[rho2]])*Tableau1[[#This Row],[J]]^(1/2)*Tableau1[[#This Row],[d2]]/Tableau1[[#This Row],[d1]]</f>
        <v>#DIV/0!</v>
      </c>
      <c r="V160" s="2">
        <v>0.37032562970624255</v>
      </c>
      <c r="W160" s="2">
        <v>0.16416768666288525</v>
      </c>
      <c r="X160" s="2">
        <v>0.39586983854652813</v>
      </c>
      <c r="Y160" s="2">
        <v>1.1794664292299075</v>
      </c>
      <c r="Z160" s="2">
        <v>9.6797041956812109</v>
      </c>
      <c r="AA160" s="2">
        <v>28.840000000000003</v>
      </c>
      <c r="AB160">
        <f>Tableau1[[#This Row],[u2]]/Tableau1[[#This Row],[u1]]</f>
        <v>0.42510771480683662</v>
      </c>
      <c r="AC160">
        <f>ABS(Tableau1[[#This Row],[u2]]-Tableau1[[#This Row],[u1]])</f>
        <v>28.879473268115149</v>
      </c>
      <c r="AD160">
        <f>(Tableau1[[#This Row],[d1]]+0.002)/Tableau1[[#This Row],[d2]]</f>
        <v>0.4</v>
      </c>
      <c r="AE160" t="e">
        <f>Tableau1[[#This Row],[S2]]*Tableau1[[#This Row],[u2]]/(Tableau1[[#This Row],[S1]]*Tableau1[[#This Row],[u1]])*(1-Tableau1[[#This Row],[ALPHA]]^3)/(1-Tableau1[[#This Row],[ALPHA]]^4)</f>
        <v>#DIV/0!</v>
      </c>
      <c r="AF160" s="1">
        <v>1</v>
      </c>
      <c r="AG160" s="1" t="s">
        <v>40</v>
      </c>
      <c r="AH160" s="2" t="s">
        <v>41</v>
      </c>
      <c r="AI160" t="s">
        <v>42</v>
      </c>
      <c r="AJ160" t="s">
        <v>42</v>
      </c>
      <c r="AK160">
        <v>20.8</v>
      </c>
      <c r="AL160" s="9">
        <v>25.8</v>
      </c>
      <c r="AM160">
        <v>3.2257721870533276</v>
      </c>
    </row>
    <row r="161" spans="1:39" x14ac:dyDescent="0.25">
      <c r="A161" s="2" t="s">
        <v>169</v>
      </c>
      <c r="B161" s="2">
        <v>9.9402080506981214</v>
      </c>
      <c r="C161" s="2">
        <v>5.7464278829991731</v>
      </c>
      <c r="D161" s="2">
        <v>0.40310162780920272</v>
      </c>
      <c r="E161" s="2">
        <v>65535</v>
      </c>
      <c r="F161" s="2">
        <v>0</v>
      </c>
      <c r="G161" s="2">
        <v>0</v>
      </c>
      <c r="H161" s="2">
        <v>8.286268798514606E-5</v>
      </c>
      <c r="I161" s="2">
        <v>7.0225424575805669E-3</v>
      </c>
      <c r="J161" s="2">
        <v>8.286268798514606E-5</v>
      </c>
      <c r="K161" s="2">
        <v>0</v>
      </c>
      <c r="L161" s="2">
        <v>6.0000000000000001E-3</v>
      </c>
      <c r="M161" s="2">
        <v>0.02</v>
      </c>
      <c r="N161" s="2">
        <v>35.651700506664248</v>
      </c>
      <c r="O161" s="2">
        <v>22.562105757923906</v>
      </c>
      <c r="P161" s="2">
        <v>4</v>
      </c>
      <c r="Q161" t="s">
        <v>165</v>
      </c>
      <c r="R161" s="2">
        <v>1976.3974958926074</v>
      </c>
      <c r="S161" s="2">
        <v>17375.974004225158</v>
      </c>
      <c r="T16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61" t="e">
        <f>Tableau1[[#This Row],[S2]]/Tableau1[[#This Row],[S1]]*SQRT(Tableau1[[#This Row],[rho1]]/Tableau1[[#This Row],[rho2]])*Tableau1[[#This Row],[J]]^(1/2)*Tableau1[[#This Row],[d2]]/Tableau1[[#This Row],[d1]]</f>
        <v>#DIV/0!</v>
      </c>
      <c r="V161" s="2">
        <v>0.29577464788732388</v>
      </c>
      <c r="W161" s="2">
        <v>2.8301886792452824E-2</v>
      </c>
      <c r="X161" s="2">
        <v>8.2202757376980351E-2</v>
      </c>
      <c r="Y161" s="2">
        <v>1.1794664292299073</v>
      </c>
      <c r="Z161" s="2">
        <v>2.0099999999999998</v>
      </c>
      <c r="AA161" s="2">
        <v>28.84</v>
      </c>
      <c r="AB161">
        <f>Tableau1[[#This Row],[u2]]/Tableau1[[#This Row],[u1]]</f>
        <v>0.63284795500025171</v>
      </c>
      <c r="AC161">
        <f>ABS(Tableau1[[#This Row],[u2]]-Tableau1[[#This Row],[u1]])</f>
        <v>13.089594748740343</v>
      </c>
      <c r="AD161">
        <f>(Tableau1[[#This Row],[d1]]+0.002)/Tableau1[[#This Row],[d2]]</f>
        <v>0.4</v>
      </c>
      <c r="AE161" t="e">
        <f>Tableau1[[#This Row],[S2]]*Tableau1[[#This Row],[u2]]/(Tableau1[[#This Row],[S1]]*Tableau1[[#This Row],[u1]])*(1-Tableau1[[#This Row],[ALPHA]]^3)/(1-Tableau1[[#This Row],[ALPHA]]^4)</f>
        <v>#DIV/0!</v>
      </c>
      <c r="AF161" s="1">
        <v>1</v>
      </c>
      <c r="AG161" s="1" t="s">
        <v>40</v>
      </c>
      <c r="AH161" s="2" t="s">
        <v>41</v>
      </c>
      <c r="AI161" t="s">
        <v>42</v>
      </c>
      <c r="AJ161" t="s">
        <v>42</v>
      </c>
      <c r="AK161">
        <v>21.400000000000002</v>
      </c>
      <c r="AL161" s="9">
        <v>26.1</v>
      </c>
      <c r="AM161">
        <v>3.2294390689786585</v>
      </c>
    </row>
    <row r="162" spans="1:39" x14ac:dyDescent="0.25">
      <c r="A162" s="2" t="s">
        <v>169</v>
      </c>
      <c r="B162" s="2">
        <v>9.9402080506981214</v>
      </c>
      <c r="C162" s="2">
        <v>5.7464278829991731</v>
      </c>
      <c r="D162" s="2">
        <v>0.40310162780920272</v>
      </c>
      <c r="E162" s="2">
        <v>65535</v>
      </c>
      <c r="F162" s="2">
        <v>0</v>
      </c>
      <c r="G162" s="2">
        <v>0</v>
      </c>
      <c r="H162" s="2">
        <v>8.286268798514606E-5</v>
      </c>
      <c r="I162" s="2">
        <v>7.0225424575805669E-3</v>
      </c>
      <c r="J162" s="2">
        <v>8.286268798514606E-5</v>
      </c>
      <c r="K162" s="2">
        <v>0</v>
      </c>
      <c r="L162" s="2">
        <v>6.0000000000000001E-3</v>
      </c>
      <c r="M162" s="2">
        <v>0.02</v>
      </c>
      <c r="N162" s="2">
        <v>35.651700506664248</v>
      </c>
      <c r="O162" s="2">
        <v>22.562105757923906</v>
      </c>
      <c r="P162" s="2">
        <v>4</v>
      </c>
      <c r="Q162" t="s">
        <v>165</v>
      </c>
      <c r="R162" s="2">
        <v>1976.3974958926074</v>
      </c>
      <c r="S162" s="2">
        <v>17375.974004225158</v>
      </c>
      <c r="T16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62" t="e">
        <f>Tableau1[[#This Row],[S2]]/Tableau1[[#This Row],[S1]]*SQRT(Tableau1[[#This Row],[rho1]]/Tableau1[[#This Row],[rho2]])*Tableau1[[#This Row],[J]]^(1/2)*Tableau1[[#This Row],[d2]]/Tableau1[[#This Row],[d1]]</f>
        <v>#DIV/0!</v>
      </c>
      <c r="V162" s="2">
        <v>0.29577464788732388</v>
      </c>
      <c r="W162" s="2">
        <v>2.8301886792452824E-2</v>
      </c>
      <c r="X162" s="2">
        <v>8.2202757376980351E-2</v>
      </c>
      <c r="Y162" s="2">
        <v>1.1794664292299073</v>
      </c>
      <c r="Z162" s="2">
        <v>2.0099999999999998</v>
      </c>
      <c r="AA162" s="2">
        <v>28.84</v>
      </c>
      <c r="AB162">
        <f>Tableau1[[#This Row],[u2]]/Tableau1[[#This Row],[u1]]</f>
        <v>0.63284795500025171</v>
      </c>
      <c r="AC162">
        <f>ABS(Tableau1[[#This Row],[u2]]-Tableau1[[#This Row],[u1]])</f>
        <v>13.089594748740343</v>
      </c>
      <c r="AD162">
        <f>(Tableau1[[#This Row],[d1]]+0.002)/Tableau1[[#This Row],[d2]]</f>
        <v>0.4</v>
      </c>
      <c r="AE162" t="e">
        <f>Tableau1[[#This Row],[S2]]*Tableau1[[#This Row],[u2]]/(Tableau1[[#This Row],[S1]]*Tableau1[[#This Row],[u1]])*(1-Tableau1[[#This Row],[ALPHA]]^3)/(1-Tableau1[[#This Row],[ALPHA]]^4)</f>
        <v>#DIV/0!</v>
      </c>
      <c r="AF162" s="1">
        <v>1</v>
      </c>
      <c r="AG162" s="1" t="s">
        <v>40</v>
      </c>
      <c r="AH162" s="2" t="s">
        <v>41</v>
      </c>
      <c r="AI162" t="s">
        <v>42</v>
      </c>
      <c r="AJ162" t="s">
        <v>42</v>
      </c>
      <c r="AK162">
        <v>21.400000000000002</v>
      </c>
      <c r="AL162" s="9">
        <v>26.1</v>
      </c>
      <c r="AM162">
        <v>3.2294390689786585</v>
      </c>
    </row>
    <row r="163" spans="1:39" x14ac:dyDescent="0.25">
      <c r="A163" t="s">
        <v>200</v>
      </c>
      <c r="B163">
        <v>10</v>
      </c>
      <c r="C163">
        <v>24.999999999999996</v>
      </c>
      <c r="D163">
        <v>0.19</v>
      </c>
      <c r="E163">
        <v>65535</v>
      </c>
      <c r="F163">
        <v>0</v>
      </c>
      <c r="G163">
        <f>0.6*0.8</f>
        <v>0.48</v>
      </c>
      <c r="H163" s="3">
        <f t="shared" ref="H163:H194" si="0">J163</f>
        <v>8.3300000000000005E-5</v>
      </c>
      <c r="I163">
        <v>1.5053083352157215E-2</v>
      </c>
      <c r="J163" s="3">
        <f t="shared" ref="J163:J194" si="1">0.0000833</f>
        <v>8.3300000000000005E-5</v>
      </c>
      <c r="K163">
        <v>7.3429674888571776E-3</v>
      </c>
      <c r="L163">
        <v>6.0000000000000001E-3</v>
      </c>
      <c r="M163">
        <v>0.02</v>
      </c>
      <c r="N163" s="3">
        <f>Tableau1[[#This Row],[mH2]]/Tableau1[[#This Row],[rho1]]/(PI()*Tableau1[[#This Row],[d1]]^2/4)</f>
        <v>35.839854154109695</v>
      </c>
      <c r="O163">
        <f>Tableau1[[#This Row],[m2]]/Tableau1[[#This Row],[rho2]]/(PI()/4*(Tableau1[[#This Row],[d2]]^2-(Tableau1[[#This Row],[d1]]+2*0.001)^2))</f>
        <v>48.362720571037343</v>
      </c>
      <c r="P163">
        <v>4</v>
      </c>
      <c r="Q163" t="s">
        <v>165</v>
      </c>
      <c r="R163" s="3">
        <f>Tableau1[[#This Row],[rho1]]*Tableau1[[#This Row],[u1]]*Tableau1[[#This Row],[d1]]/0.0000089385</f>
        <v>1977.6035143189399</v>
      </c>
      <c r="S163">
        <f>Tableau1[[#This Row],[rho2]]*Tableau1[[#This Row],[u2]]*(Tableau1[[#This Row],[d2]]-(Tableau1[[#This Row],[d1]]+2*0.001))/0.0000184725</f>
        <v>37055.431808211259</v>
      </c>
      <c r="T16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0.47795163584637268</v>
      </c>
      <c r="U163" t="e">
        <f>Tableau1[[#This Row],[S2]]/Tableau1[[#This Row],[S1]]*SQRT(Tableau1[[#This Row],[rho1]]/Tableau1[[#This Row],[rho2]])*Tableau1[[#This Row],[J]]^(1/2)*Tableau1[[#This Row],[d2]]/Tableau1[[#This Row],[d1]]</f>
        <v>#DIV/0!</v>
      </c>
      <c r="V163">
        <v>0.29577464788732394</v>
      </c>
      <c r="W163">
        <v>2.8301886792452827E-2</v>
      </c>
      <c r="X163">
        <v>8.2202757376980351E-2</v>
      </c>
      <c r="Y163">
        <v>1.1794664292299073</v>
      </c>
      <c r="Z163">
        <v>2.0099999999999998</v>
      </c>
      <c r="AA163">
        <v>28.84</v>
      </c>
      <c r="AB163">
        <f>Tableau1[[#This Row],[u2]]/Tableau1[[#This Row],[u1]]</f>
        <v>1.3494117571762405</v>
      </c>
      <c r="AC163">
        <f>ABS(Tableau1[[#This Row],[u2]]-Tableau1[[#This Row],[u1]])</f>
        <v>12.522866416927648</v>
      </c>
      <c r="AD163">
        <f>(Tableau1[[#This Row],[d1]]+0.002)/Tableau1[[#This Row],[d2]]</f>
        <v>0.4</v>
      </c>
      <c r="AE163" t="e">
        <f>Tableau1[[#This Row],[S2]]*Tableau1[[#This Row],[u2]]/(Tableau1[[#This Row],[S1]]*Tableau1[[#This Row],[u1]])*(1-Tableau1[[#This Row],[ALPHA]]^3)/(1-Tableau1[[#This Row],[ALPHA]]^4)</f>
        <v>#DIV/0!</v>
      </c>
      <c r="AF163" s="1">
        <v>0</v>
      </c>
      <c r="AG163" s="1" t="s">
        <v>53</v>
      </c>
      <c r="AH163" t="s">
        <v>61</v>
      </c>
      <c r="AI163" t="s">
        <v>42</v>
      </c>
      <c r="AJ163" t="s">
        <v>42</v>
      </c>
      <c r="AK163">
        <v>3</v>
      </c>
      <c r="AL163">
        <v>5.3</v>
      </c>
      <c r="AM163">
        <v>1.4666350771493402</v>
      </c>
    </row>
    <row r="164" spans="1:39" x14ac:dyDescent="0.25">
      <c r="A164" t="s">
        <v>209</v>
      </c>
      <c r="B164">
        <v>10</v>
      </c>
      <c r="C164">
        <v>4</v>
      </c>
      <c r="D164">
        <v>0.48</v>
      </c>
      <c r="E164">
        <v>65535</v>
      </c>
      <c r="F164">
        <v>0</v>
      </c>
      <c r="G164">
        <v>0.64000000000000012</v>
      </c>
      <c r="H164" s="3">
        <f t="shared" si="0"/>
        <v>8.3300000000000005E-5</v>
      </c>
      <c r="I164">
        <v>5.9585121602288987E-3</v>
      </c>
      <c r="J164" s="3">
        <f t="shared" si="1"/>
        <v>8.3300000000000005E-5</v>
      </c>
      <c r="K164">
        <v>3.875455063563512E-3</v>
      </c>
      <c r="L164">
        <v>6.0000000000000001E-3</v>
      </c>
      <c r="M164">
        <v>0.02</v>
      </c>
      <c r="N164" s="3">
        <f>Tableau1[[#This Row],[mH2]]/Tableau1[[#This Row],[rho1]]/(PI()*Tableau1[[#This Row],[d1]]^2/4)</f>
        <v>35.839854154109695</v>
      </c>
      <c r="O164">
        <f>Tableau1[[#This Row],[m2]]/Tableau1[[#This Row],[rho2]]/(PI()/4*(Tableau1[[#This Row],[d2]]^2-(Tableau1[[#This Row],[d1]]+2*0.001)^2))</f>
        <v>19.143576892702285</v>
      </c>
      <c r="P164">
        <v>4</v>
      </c>
      <c r="Q164" t="s">
        <v>165</v>
      </c>
      <c r="R164" s="3">
        <f>Tableau1[[#This Row],[rho1]]*Tableau1[[#This Row],[u1]]*Tableau1[[#This Row],[d1]]/0.0000089385</f>
        <v>1977.6035143189399</v>
      </c>
      <c r="S164">
        <f>Tableau1[[#This Row],[rho2]]*Tableau1[[#This Row],[u2]]*(Tableau1[[#This Row],[d2]]-(Tableau1[[#This Row],[d1]]+2*0.001))/0.0000184725</f>
        <v>14667.77509075029</v>
      </c>
      <c r="T16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0.62330434782608712</v>
      </c>
      <c r="U164" t="e">
        <f>Tableau1[[#This Row],[S2]]/Tableau1[[#This Row],[S1]]*SQRT(Tableau1[[#This Row],[rho1]]/Tableau1[[#This Row],[rho2]])*Tableau1[[#This Row],[J]]^(1/2)*Tableau1[[#This Row],[d2]]/Tableau1[[#This Row],[d1]]</f>
        <v>#DIV/0!</v>
      </c>
      <c r="V164">
        <v>0.29577464788732394</v>
      </c>
      <c r="W164">
        <v>2.8301886792452827E-2</v>
      </c>
      <c r="X164">
        <v>8.2202757376980351E-2</v>
      </c>
      <c r="Y164">
        <v>1.1794664292299073</v>
      </c>
      <c r="Z164">
        <v>2.0099999999999998</v>
      </c>
      <c r="AA164">
        <v>28.84</v>
      </c>
      <c r="AB164">
        <f>Tableau1[[#This Row],[u2]]/Tableau1[[#This Row],[u1]]</f>
        <v>0.53414215388226194</v>
      </c>
      <c r="AC164">
        <f>ABS(Tableau1[[#This Row],[u2]]-Tableau1[[#This Row],[u1]])</f>
        <v>16.69627726140741</v>
      </c>
      <c r="AD164">
        <f>(Tableau1[[#This Row],[d1]]+0.002)/Tableau1[[#This Row],[d2]]</f>
        <v>0.4</v>
      </c>
      <c r="AE164" t="e">
        <f>Tableau1[[#This Row],[S2]]*Tableau1[[#This Row],[u2]]/(Tableau1[[#This Row],[S1]]*Tableau1[[#This Row],[u1]])*(1-Tableau1[[#This Row],[ALPHA]]^3)/(1-Tableau1[[#This Row],[ALPHA]]^4)</f>
        <v>#DIV/0!</v>
      </c>
      <c r="AF164" s="1">
        <v>1</v>
      </c>
      <c r="AG164" s="1" t="s">
        <v>40</v>
      </c>
      <c r="AH164" t="s">
        <v>41</v>
      </c>
      <c r="AI164" t="s">
        <v>42</v>
      </c>
      <c r="AJ164" t="s">
        <v>42</v>
      </c>
      <c r="AK164">
        <v>16.7</v>
      </c>
      <c r="AL164">
        <v>17.3</v>
      </c>
      <c r="AM164">
        <v>1.7747234429316101</v>
      </c>
    </row>
    <row r="165" spans="1:39" x14ac:dyDescent="0.25">
      <c r="A165" t="s">
        <v>210</v>
      </c>
      <c r="B165">
        <v>10</v>
      </c>
      <c r="C165">
        <v>2.7777777777777777</v>
      </c>
      <c r="D165">
        <v>0.57999999999999996</v>
      </c>
      <c r="E165">
        <v>65535</v>
      </c>
      <c r="F165">
        <v>0</v>
      </c>
      <c r="G165">
        <v>0.55999999999999994</v>
      </c>
      <c r="H165" s="3">
        <f t="shared" si="0"/>
        <v>8.3300000000000005E-5</v>
      </c>
      <c r="I165">
        <v>4.931182477430812E-3</v>
      </c>
      <c r="J165" s="3">
        <f t="shared" si="1"/>
        <v>8.3300000000000005E-5</v>
      </c>
      <c r="K165">
        <v>2.8063640115459907E-3</v>
      </c>
      <c r="L165">
        <v>6.0000000000000001E-3</v>
      </c>
      <c r="M165">
        <v>0.02</v>
      </c>
      <c r="N165" s="3">
        <f>Tableau1[[#This Row],[mH2]]/Tableau1[[#This Row],[rho1]]/(PI()*Tableau1[[#This Row],[d1]]^2/4)</f>
        <v>35.839854154109695</v>
      </c>
      <c r="O165">
        <f>Tableau1[[#This Row],[m2]]/Tableau1[[#This Row],[rho2]]/(PI()/4*(Tableau1[[#This Row],[d2]]^2-(Tableau1[[#This Row],[d1]]+2*0.001)^2))</f>
        <v>15.842960187063959</v>
      </c>
      <c r="P165">
        <v>4</v>
      </c>
      <c r="Q165" t="s">
        <v>165</v>
      </c>
      <c r="R165" s="3">
        <f>Tableau1[[#This Row],[rho1]]*Tableau1[[#This Row],[u1]]*Tableau1[[#This Row],[d1]]/0.0000089385</f>
        <v>1977.6035143189399</v>
      </c>
      <c r="S165">
        <f>Tableau1[[#This Row],[rho2]]*Tableau1[[#This Row],[u2]]*(Tableau1[[#This Row],[d2]]-(Tableau1[[#This Row],[d1]]+2*0.001))/0.0000184725</f>
        <v>12138.848350965756</v>
      </c>
      <c r="T16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0.53920220082530945</v>
      </c>
      <c r="U165" t="e">
        <f>Tableau1[[#This Row],[S2]]/Tableau1[[#This Row],[S1]]*SQRT(Tableau1[[#This Row],[rho1]]/Tableau1[[#This Row],[rho2]])*Tableau1[[#This Row],[J]]^(1/2)*Tableau1[[#This Row],[d2]]/Tableau1[[#This Row],[d1]]</f>
        <v>#DIV/0!</v>
      </c>
      <c r="V165">
        <v>0.29577464788732394</v>
      </c>
      <c r="W165">
        <v>2.8301886792452827E-2</v>
      </c>
      <c r="X165">
        <v>8.2202757376980351E-2</v>
      </c>
      <c r="Y165">
        <v>1.1794664292299073</v>
      </c>
      <c r="Z165">
        <v>2.0099999999999998</v>
      </c>
      <c r="AA165">
        <v>28.84</v>
      </c>
      <c r="AB165">
        <f>Tableau1[[#This Row],[u2]]/Tableau1[[#This Row],[u1]]</f>
        <v>0.44204867907497536</v>
      </c>
      <c r="AC165">
        <f>ABS(Tableau1[[#This Row],[u2]]-Tableau1[[#This Row],[u1]])</f>
        <v>19.996893967045736</v>
      </c>
      <c r="AD165">
        <f>(Tableau1[[#This Row],[d1]]+0.002)/Tableau1[[#This Row],[d2]]</f>
        <v>0.4</v>
      </c>
      <c r="AE165" t="e">
        <f>Tableau1[[#This Row],[S2]]*Tableau1[[#This Row],[u2]]/(Tableau1[[#This Row],[S1]]*Tableau1[[#This Row],[u1]])*(1-Tableau1[[#This Row],[ALPHA]]^3)/(1-Tableau1[[#This Row],[ALPHA]]^4)</f>
        <v>#DIV/0!</v>
      </c>
      <c r="AF165" s="1">
        <v>1</v>
      </c>
      <c r="AG165" s="1" t="s">
        <v>40</v>
      </c>
      <c r="AH165" t="s">
        <v>41</v>
      </c>
      <c r="AI165" t="s">
        <v>42</v>
      </c>
      <c r="AJ165" t="s">
        <v>42</v>
      </c>
      <c r="AK165">
        <v>26.5</v>
      </c>
      <c r="AL165">
        <v>27.4</v>
      </c>
      <c r="AM165">
        <v>2.2718537724690049</v>
      </c>
    </row>
    <row r="166" spans="1:39" x14ac:dyDescent="0.25">
      <c r="A166" t="s">
        <v>211</v>
      </c>
      <c r="B166">
        <v>10</v>
      </c>
      <c r="C166">
        <v>2.7777777777777777</v>
      </c>
      <c r="D166">
        <v>0.57999999999999996</v>
      </c>
      <c r="E166">
        <v>65535</v>
      </c>
      <c r="F166">
        <v>0</v>
      </c>
      <c r="G166">
        <v>0.64000000000000012</v>
      </c>
      <c r="H166" s="3">
        <f t="shared" si="0"/>
        <v>8.3300000000000005E-5</v>
      </c>
      <c r="I166">
        <v>4.931182477430812E-3</v>
      </c>
      <c r="J166" s="3">
        <f t="shared" si="1"/>
        <v>8.3300000000000005E-5</v>
      </c>
      <c r="K166">
        <v>3.2072731560525607E-3</v>
      </c>
      <c r="L166">
        <v>6.0000000000000001E-3</v>
      </c>
      <c r="M166">
        <v>0.02</v>
      </c>
      <c r="N166" s="3">
        <f>Tableau1[[#This Row],[mH2]]/Tableau1[[#This Row],[rho1]]/(PI()*Tableau1[[#This Row],[d1]]^2/4)</f>
        <v>35.839854154109695</v>
      </c>
      <c r="O166">
        <f>Tableau1[[#This Row],[m2]]/Tableau1[[#This Row],[rho2]]/(PI()/4*(Tableau1[[#This Row],[d2]]^2-(Tableau1[[#This Row],[d1]]+2*0.001)^2))</f>
        <v>15.842960187063959</v>
      </c>
      <c r="P166">
        <v>4</v>
      </c>
      <c r="Q166" t="s">
        <v>165</v>
      </c>
      <c r="R166" s="3">
        <f>Tableau1[[#This Row],[rho1]]*Tableau1[[#This Row],[u1]]*Tableau1[[#This Row],[d1]]/0.0000089385</f>
        <v>1977.6035143189399</v>
      </c>
      <c r="S166">
        <f>Tableau1[[#This Row],[rho2]]*Tableau1[[#This Row],[u2]]*(Tableau1[[#This Row],[d2]]-(Tableau1[[#This Row],[d1]]+2*0.001))/0.0000184725</f>
        <v>12138.848350965756</v>
      </c>
      <c r="T16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0.61623108665749671</v>
      </c>
      <c r="U166" t="e">
        <f>Tableau1[[#This Row],[S2]]/Tableau1[[#This Row],[S1]]*SQRT(Tableau1[[#This Row],[rho1]]/Tableau1[[#This Row],[rho2]])*Tableau1[[#This Row],[J]]^(1/2)*Tableau1[[#This Row],[d2]]/Tableau1[[#This Row],[d1]]</f>
        <v>#DIV/0!</v>
      </c>
      <c r="V166">
        <v>0.29577464788732394</v>
      </c>
      <c r="W166">
        <v>2.8301886792452827E-2</v>
      </c>
      <c r="X166">
        <v>8.2202757376980351E-2</v>
      </c>
      <c r="Y166">
        <v>1.1794664292299073</v>
      </c>
      <c r="Z166">
        <v>2.0099999999999998</v>
      </c>
      <c r="AA166">
        <v>28.84</v>
      </c>
      <c r="AB166">
        <f>Tableau1[[#This Row],[u2]]/Tableau1[[#This Row],[u1]]</f>
        <v>0.44204867907497536</v>
      </c>
      <c r="AC166">
        <f>ABS(Tableau1[[#This Row],[u2]]-Tableau1[[#This Row],[u1]])</f>
        <v>19.996893967045736</v>
      </c>
      <c r="AD166">
        <f>(Tableau1[[#This Row],[d1]]+0.002)/Tableau1[[#This Row],[d2]]</f>
        <v>0.4</v>
      </c>
      <c r="AE166" t="e">
        <f>Tableau1[[#This Row],[S2]]*Tableau1[[#This Row],[u2]]/(Tableau1[[#This Row],[S1]]*Tableau1[[#This Row],[u1]])*(1-Tableau1[[#This Row],[ALPHA]]^3)/(1-Tableau1[[#This Row],[ALPHA]]^4)</f>
        <v>#DIV/0!</v>
      </c>
      <c r="AF166" s="1">
        <v>1</v>
      </c>
      <c r="AG166" s="1" t="s">
        <v>40</v>
      </c>
      <c r="AH166" t="s">
        <v>41</v>
      </c>
      <c r="AI166" t="s">
        <v>42</v>
      </c>
      <c r="AJ166" t="s">
        <v>42</v>
      </c>
      <c r="AK166">
        <v>20.9</v>
      </c>
      <c r="AL166">
        <v>22.2</v>
      </c>
      <c r="AM166">
        <v>1.8406990419274416</v>
      </c>
    </row>
    <row r="167" spans="1:39" x14ac:dyDescent="0.25">
      <c r="A167" t="s">
        <v>212</v>
      </c>
      <c r="B167">
        <v>10</v>
      </c>
      <c r="C167">
        <v>2.0408163265306127</v>
      </c>
      <c r="D167">
        <v>0.68</v>
      </c>
      <c r="E167">
        <v>65535</v>
      </c>
      <c r="F167">
        <v>0</v>
      </c>
      <c r="G167">
        <v>0.55999999999999994</v>
      </c>
      <c r="H167" s="3">
        <f t="shared" si="0"/>
        <v>8.3300000000000005E-5</v>
      </c>
      <c r="I167">
        <v>4.206008583690986E-3</v>
      </c>
      <c r="J167" s="3">
        <f t="shared" si="1"/>
        <v>8.3300000000000005E-5</v>
      </c>
      <c r="K167">
        <v>2.3936634216127563E-3</v>
      </c>
      <c r="L167">
        <v>6.0000000000000001E-3</v>
      </c>
      <c r="M167">
        <v>0.02</v>
      </c>
      <c r="N167" s="3">
        <f>Tableau1[[#This Row],[mH2]]/Tableau1[[#This Row],[rho1]]/(PI()*Tableau1[[#This Row],[d1]]^2/4)</f>
        <v>35.839854154109695</v>
      </c>
      <c r="O167">
        <f>Tableau1[[#This Row],[m2]]/Tableau1[[#This Row],[rho2]]/(PI()/4*(Tableau1[[#This Row],[d2]]^2-(Tableau1[[#This Row],[d1]]+2*0.001)^2))</f>
        <v>13.513113100731021</v>
      </c>
      <c r="P167">
        <v>4</v>
      </c>
      <c r="Q167" t="s">
        <v>165</v>
      </c>
      <c r="R167" s="3">
        <f>Tableau1[[#This Row],[rho1]]*Tableau1[[#This Row],[u1]]*Tableau1[[#This Row],[d1]]/0.0000089385</f>
        <v>1977.6035143189399</v>
      </c>
      <c r="S167">
        <f>Tableau1[[#This Row],[rho2]]*Tableau1[[#This Row],[u2]]*(Tableau1[[#This Row],[d2]]-(Tableau1[[#This Row],[d1]]+2*0.001))/0.0000184725</f>
        <v>10353.72359347079</v>
      </c>
      <c r="T16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0.53206650831353919</v>
      </c>
      <c r="U167" t="e">
        <f>Tableau1[[#This Row],[S2]]/Tableau1[[#This Row],[S1]]*SQRT(Tableau1[[#This Row],[rho1]]/Tableau1[[#This Row],[rho2]])*Tableau1[[#This Row],[J]]^(1/2)*Tableau1[[#This Row],[d2]]/Tableau1[[#This Row],[d1]]</f>
        <v>#DIV/0!</v>
      </c>
      <c r="V167">
        <v>0.29577464788732394</v>
      </c>
      <c r="W167">
        <v>2.8301886792452827E-2</v>
      </c>
      <c r="X167">
        <v>8.2202757376980351E-2</v>
      </c>
      <c r="Y167">
        <v>1.1794664292299073</v>
      </c>
      <c r="Z167">
        <v>2.0099999999999998</v>
      </c>
      <c r="AA167">
        <v>28.84</v>
      </c>
      <c r="AB167">
        <f>Tableau1[[#This Row],[u2]]/Tableau1[[#This Row],[u1]]</f>
        <v>0.3770415203874789</v>
      </c>
      <c r="AC167">
        <f>ABS(Tableau1[[#This Row],[u2]]-Tableau1[[#This Row],[u1]])</f>
        <v>22.326741053378676</v>
      </c>
      <c r="AD167">
        <f>(Tableau1[[#This Row],[d1]]+0.002)/Tableau1[[#This Row],[d2]]</f>
        <v>0.4</v>
      </c>
      <c r="AE167" t="e">
        <f>Tableau1[[#This Row],[S2]]*Tableau1[[#This Row],[u2]]/(Tableau1[[#This Row],[S1]]*Tableau1[[#This Row],[u1]])*(1-Tableau1[[#This Row],[ALPHA]]^3)/(1-Tableau1[[#This Row],[ALPHA]]^4)</f>
        <v>#DIV/0!</v>
      </c>
      <c r="AF167" s="1">
        <v>1</v>
      </c>
      <c r="AG167" s="1" t="s">
        <v>40</v>
      </c>
      <c r="AH167" t="s">
        <v>41</v>
      </c>
      <c r="AI167" t="s">
        <v>42</v>
      </c>
      <c r="AJ167" t="s">
        <v>42</v>
      </c>
      <c r="AK167">
        <v>50.7</v>
      </c>
      <c r="AL167">
        <v>53.5</v>
      </c>
      <c r="AM167">
        <v>3.6930571747394239</v>
      </c>
    </row>
    <row r="168" spans="1:39" x14ac:dyDescent="0.25">
      <c r="A168" t="s">
        <v>213</v>
      </c>
      <c r="B168">
        <v>10</v>
      </c>
      <c r="C168">
        <v>2.0408163265306127</v>
      </c>
      <c r="D168">
        <v>0.67</v>
      </c>
      <c r="E168">
        <v>65535</v>
      </c>
      <c r="F168">
        <v>0</v>
      </c>
      <c r="G168">
        <v>0.64000000000000012</v>
      </c>
      <c r="H168" s="3">
        <f t="shared" si="0"/>
        <v>8.3300000000000005E-5</v>
      </c>
      <c r="I168">
        <v>4.2687848312087627E-3</v>
      </c>
      <c r="J168" s="3">
        <f t="shared" si="1"/>
        <v>8.3300000000000005E-5</v>
      </c>
      <c r="K168">
        <v>2.7764454186723665E-3</v>
      </c>
      <c r="L168">
        <v>6.0000000000000001E-3</v>
      </c>
      <c r="M168">
        <v>0.02</v>
      </c>
      <c r="N168" s="3">
        <f>Tableau1[[#This Row],[mH2]]/Tableau1[[#This Row],[rho1]]/(PI()*Tableau1[[#This Row],[d1]]^2/4)</f>
        <v>35.839854154109695</v>
      </c>
      <c r="O168">
        <f>Tableau1[[#This Row],[m2]]/Tableau1[[#This Row],[rho2]]/(PI()/4*(Tableau1[[#This Row],[d2]]^2-(Tableau1[[#This Row],[d1]]+2*0.001)^2))</f>
        <v>13.714801355965815</v>
      </c>
      <c r="P168">
        <v>4</v>
      </c>
      <c r="Q168" t="s">
        <v>165</v>
      </c>
      <c r="R168" s="3">
        <f>Tableau1[[#This Row],[rho1]]*Tableau1[[#This Row],[u1]]*Tableau1[[#This Row],[d1]]/0.0000089385</f>
        <v>1977.6035143189399</v>
      </c>
      <c r="S168">
        <f>Tableau1[[#This Row],[rho2]]*Tableau1[[#This Row],[u2]]*(Tableau1[[#This Row],[d2]]-(Tableau1[[#This Row],[d1]]+2*0.001))/0.0000184725</f>
        <v>10508.256781433043</v>
      </c>
      <c r="T16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0.60807600950118779</v>
      </c>
      <c r="U168" t="e">
        <f>Tableau1[[#This Row],[S2]]/Tableau1[[#This Row],[S1]]*SQRT(Tableau1[[#This Row],[rho1]]/Tableau1[[#This Row],[rho2]])*Tableau1[[#This Row],[J]]^(1/2)*Tableau1[[#This Row],[d2]]/Tableau1[[#This Row],[d1]]</f>
        <v>#DIV/0!</v>
      </c>
      <c r="V168">
        <v>0.29577464788732394</v>
      </c>
      <c r="W168">
        <v>2.8301886792452827E-2</v>
      </c>
      <c r="X168">
        <v>8.2202757376980351E-2</v>
      </c>
      <c r="Y168">
        <v>1.1794664292299073</v>
      </c>
      <c r="Z168">
        <v>2.0099999999999998</v>
      </c>
      <c r="AA168">
        <v>28.84</v>
      </c>
      <c r="AB168">
        <f>Tableau1[[#This Row],[u2]]/Tableau1[[#This Row],[u1]]</f>
        <v>0.38266900576639656</v>
      </c>
      <c r="AC168">
        <f>ABS(Tableau1[[#This Row],[u2]]-Tableau1[[#This Row],[u1]])</f>
        <v>22.12505279814388</v>
      </c>
      <c r="AD168">
        <f>(Tableau1[[#This Row],[d1]]+0.002)/Tableau1[[#This Row],[d2]]</f>
        <v>0.4</v>
      </c>
      <c r="AE168" t="e">
        <f>Tableau1[[#This Row],[S2]]*Tableau1[[#This Row],[u2]]/(Tableau1[[#This Row],[S1]]*Tableau1[[#This Row],[u1]])*(1-Tableau1[[#This Row],[ALPHA]]^3)/(1-Tableau1[[#This Row],[ALPHA]]^4)</f>
        <v>#DIV/0!</v>
      </c>
      <c r="AF168" s="1">
        <v>1</v>
      </c>
      <c r="AG168" s="1" t="s">
        <v>40</v>
      </c>
      <c r="AH168" t="s">
        <v>41</v>
      </c>
      <c r="AI168" t="s">
        <v>42</v>
      </c>
      <c r="AJ168" t="s">
        <v>42</v>
      </c>
      <c r="AK168">
        <v>25.5</v>
      </c>
      <c r="AL168">
        <v>26.4</v>
      </c>
      <c r="AM168">
        <v>1.854101406763746</v>
      </c>
    </row>
    <row r="169" spans="1:39" x14ac:dyDescent="0.25">
      <c r="A169" t="s">
        <v>214</v>
      </c>
      <c r="B169">
        <v>10</v>
      </c>
      <c r="C169">
        <v>1.5624999999999998</v>
      </c>
      <c r="D169">
        <v>0.77</v>
      </c>
      <c r="E169">
        <v>65535</v>
      </c>
      <c r="F169">
        <v>0</v>
      </c>
      <c r="G169">
        <v>0.55999999999999994</v>
      </c>
      <c r="H169" s="3">
        <f t="shared" si="0"/>
        <v>8.3300000000000005E-5</v>
      </c>
      <c r="I169">
        <v>3.7143971907920401E-3</v>
      </c>
      <c r="J169" s="3">
        <f t="shared" si="1"/>
        <v>8.3300000000000005E-5</v>
      </c>
      <c r="K169">
        <v>2.1138845801255512E-3</v>
      </c>
      <c r="L169">
        <v>6.0000000000000001E-3</v>
      </c>
      <c r="M169">
        <v>0.02</v>
      </c>
      <c r="N169" s="3">
        <f>Tableau1[[#This Row],[mH2]]/Tableau1[[#This Row],[rho1]]/(PI()*Tableau1[[#This Row],[d1]]^2/4)</f>
        <v>35.839854154109695</v>
      </c>
      <c r="O169">
        <f>Tableau1[[#This Row],[m2]]/Tableau1[[#This Row],[rho2]]/(PI()/4*(Tableau1[[#This Row],[d2]]^2-(Tableau1[[#This Row],[d1]]+2*0.001)^2))</f>
        <v>11.933658322723501</v>
      </c>
      <c r="P169">
        <v>4</v>
      </c>
      <c r="Q169" t="s">
        <v>165</v>
      </c>
      <c r="R169" s="3">
        <f>Tableau1[[#This Row],[rho1]]*Tableau1[[#This Row],[u1]]*Tableau1[[#This Row],[d1]]/0.0000089385</f>
        <v>1977.6035143189399</v>
      </c>
      <c r="S169">
        <f>Tableau1[[#This Row],[rho2]]*Tableau1[[#This Row],[u2]]*(Tableau1[[#This Row],[d2]]-(Tableau1[[#This Row],[d1]]+2*0.001))/0.0000184725</f>
        <v>9143.5481085196607</v>
      </c>
      <c r="T16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0.52406417112299453</v>
      </c>
      <c r="U169" t="e">
        <f>Tableau1[[#This Row],[S2]]/Tableau1[[#This Row],[S1]]*SQRT(Tableau1[[#This Row],[rho1]]/Tableau1[[#This Row],[rho2]])*Tableau1[[#This Row],[J]]^(1/2)*Tableau1[[#This Row],[d2]]/Tableau1[[#This Row],[d1]]</f>
        <v>#DIV/0!</v>
      </c>
      <c r="V169">
        <v>0.29577464788732394</v>
      </c>
      <c r="W169">
        <v>2.8301886792452827E-2</v>
      </c>
      <c r="X169">
        <v>8.2202757376980351E-2</v>
      </c>
      <c r="Y169">
        <v>1.1794664292299073</v>
      </c>
      <c r="Z169">
        <v>2.0099999999999998</v>
      </c>
      <c r="AA169">
        <v>28.84</v>
      </c>
      <c r="AB169">
        <f>Tableau1[[#This Row],[u2]]/Tableau1[[#This Row],[u1]]</f>
        <v>0.33297173229024118</v>
      </c>
      <c r="AC169">
        <f>ABS(Tableau1[[#This Row],[u2]]-Tableau1[[#This Row],[u1]])</f>
        <v>23.906195831386192</v>
      </c>
      <c r="AD169">
        <f>(Tableau1[[#This Row],[d1]]+0.002)/Tableau1[[#This Row],[d2]]</f>
        <v>0.4</v>
      </c>
      <c r="AE169" t="e">
        <f>Tableau1[[#This Row],[S2]]*Tableau1[[#This Row],[u2]]/(Tableau1[[#This Row],[S1]]*Tableau1[[#This Row],[u1]])*(1-Tableau1[[#This Row],[ALPHA]]^3)/(1-Tableau1[[#This Row],[ALPHA]]^4)</f>
        <v>#DIV/0!</v>
      </c>
      <c r="AF169" s="1">
        <v>1</v>
      </c>
      <c r="AG169" s="1" t="s">
        <v>40</v>
      </c>
      <c r="AH169" t="s">
        <v>41</v>
      </c>
      <c r="AI169" t="s">
        <v>42</v>
      </c>
      <c r="AJ169" t="s">
        <v>42</v>
      </c>
      <c r="AK169">
        <v>56.6</v>
      </c>
      <c r="AL169">
        <v>61.3</v>
      </c>
      <c r="AM169">
        <v>3.6544596769168445</v>
      </c>
    </row>
    <row r="170" spans="1:39" x14ac:dyDescent="0.25">
      <c r="A170" t="s">
        <v>215</v>
      </c>
      <c r="B170">
        <v>10</v>
      </c>
      <c r="C170">
        <v>1.5624999999999998</v>
      </c>
      <c r="D170">
        <v>0.77</v>
      </c>
      <c r="E170">
        <v>65535</v>
      </c>
      <c r="F170">
        <v>0</v>
      </c>
      <c r="G170">
        <v>0.64000000000000012</v>
      </c>
      <c r="H170" s="3">
        <f t="shared" si="0"/>
        <v>8.3300000000000005E-5</v>
      </c>
      <c r="I170">
        <v>3.7143971907920401E-3</v>
      </c>
      <c r="J170" s="3">
        <f t="shared" si="1"/>
        <v>8.3300000000000005E-5</v>
      </c>
      <c r="K170">
        <v>2.4158680915720588E-3</v>
      </c>
      <c r="L170">
        <v>6.0000000000000001E-3</v>
      </c>
      <c r="M170">
        <v>0.02</v>
      </c>
      <c r="N170" s="3">
        <f>Tableau1[[#This Row],[mH2]]/Tableau1[[#This Row],[rho1]]/(PI()*Tableau1[[#This Row],[d1]]^2/4)</f>
        <v>35.839854154109695</v>
      </c>
      <c r="O170">
        <f>Tableau1[[#This Row],[m2]]/Tableau1[[#This Row],[rho2]]/(PI()/4*(Tableau1[[#This Row],[d2]]^2-(Tableau1[[#This Row],[d1]]+2*0.001)^2))</f>
        <v>11.933658322723501</v>
      </c>
      <c r="P170">
        <v>4</v>
      </c>
      <c r="Q170" t="s">
        <v>165</v>
      </c>
      <c r="R170" s="3">
        <f>Tableau1[[#This Row],[rho1]]*Tableau1[[#This Row],[u1]]*Tableau1[[#This Row],[d1]]/0.0000089385</f>
        <v>1977.6035143189399</v>
      </c>
      <c r="S170">
        <f>Tableau1[[#This Row],[rho2]]*Tableau1[[#This Row],[u2]]*(Tableau1[[#This Row],[d2]]-(Tableau1[[#This Row],[d1]]+2*0.001))/0.0000184725</f>
        <v>9143.5481085196607</v>
      </c>
      <c r="T17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0.59893048128342252</v>
      </c>
      <c r="U170" t="e">
        <f>Tableau1[[#This Row],[S2]]/Tableau1[[#This Row],[S1]]*SQRT(Tableau1[[#This Row],[rho1]]/Tableau1[[#This Row],[rho2]])*Tableau1[[#This Row],[J]]^(1/2)*Tableau1[[#This Row],[d2]]/Tableau1[[#This Row],[d1]]</f>
        <v>#DIV/0!</v>
      </c>
      <c r="V170">
        <v>0.29577464788732394</v>
      </c>
      <c r="W170">
        <v>2.8301886792452827E-2</v>
      </c>
      <c r="X170">
        <v>8.2202757376980351E-2</v>
      </c>
      <c r="Y170">
        <v>1.1794664292299073</v>
      </c>
      <c r="Z170">
        <v>2.0099999999999998</v>
      </c>
      <c r="AA170">
        <v>28.84</v>
      </c>
      <c r="AB170">
        <f>Tableau1[[#This Row],[u2]]/Tableau1[[#This Row],[u1]]</f>
        <v>0.33297173229024118</v>
      </c>
      <c r="AC170">
        <f>ABS(Tableau1[[#This Row],[u2]]-Tableau1[[#This Row],[u1]])</f>
        <v>23.906195831386192</v>
      </c>
      <c r="AD170">
        <f>(Tableau1[[#This Row],[d1]]+0.002)/Tableau1[[#This Row],[d2]]</f>
        <v>0.4</v>
      </c>
      <c r="AE170" t="e">
        <f>Tableau1[[#This Row],[S2]]*Tableau1[[#This Row],[u2]]/(Tableau1[[#This Row],[S1]]*Tableau1[[#This Row],[u1]])*(1-Tableau1[[#This Row],[ALPHA]]^3)/(1-Tableau1[[#This Row],[ALPHA]]^4)</f>
        <v>#DIV/0!</v>
      </c>
      <c r="AF170" s="1">
        <v>1</v>
      </c>
      <c r="AG170" s="1" t="s">
        <v>40</v>
      </c>
      <c r="AH170" t="s">
        <v>41</v>
      </c>
      <c r="AI170" t="s">
        <v>42</v>
      </c>
      <c r="AJ170" t="s">
        <v>42</v>
      </c>
      <c r="AK170">
        <v>29</v>
      </c>
      <c r="AL170">
        <v>30.3</v>
      </c>
      <c r="AM170">
        <v>1.8063642448708055</v>
      </c>
    </row>
    <row r="171" spans="1:39" x14ac:dyDescent="0.25">
      <c r="A171" t="s">
        <v>216</v>
      </c>
      <c r="B171">
        <v>10</v>
      </c>
      <c r="C171">
        <v>1.2345679012345678</v>
      </c>
      <c r="D171">
        <v>0.86</v>
      </c>
      <c r="E171">
        <v>65535</v>
      </c>
      <c r="F171">
        <v>0</v>
      </c>
      <c r="G171">
        <v>0.48</v>
      </c>
      <c r="H171" s="3">
        <f t="shared" si="0"/>
        <v>8.3300000000000005E-5</v>
      </c>
      <c r="I171">
        <v>3.3256812057091524E-3</v>
      </c>
      <c r="J171" s="3">
        <f t="shared" si="1"/>
        <v>8.3300000000000005E-5</v>
      </c>
      <c r="K171">
        <v>1.6222835149800742E-3</v>
      </c>
      <c r="L171">
        <v>6.0000000000000001E-3</v>
      </c>
      <c r="M171">
        <v>0.02</v>
      </c>
      <c r="N171" s="3">
        <f>Tableau1[[#This Row],[mH2]]/Tableau1[[#This Row],[rho1]]/(PI()*Tableau1[[#This Row],[d1]]^2/4)</f>
        <v>35.839854154109695</v>
      </c>
      <c r="O171">
        <f>Tableau1[[#This Row],[m2]]/Tableau1[[#This Row],[rho2]]/(PI()/4*(Tableau1[[#This Row],[d2]]^2-(Tableau1[[#This Row],[d1]]+2*0.001)^2))</f>
        <v>10.6847871029036</v>
      </c>
      <c r="P171">
        <v>4</v>
      </c>
      <c r="Q171" t="s">
        <v>165</v>
      </c>
      <c r="R171" s="3">
        <f>Tableau1[[#This Row],[rho1]]*Tableau1[[#This Row],[u1]]*Tableau1[[#This Row],[d1]]/0.0000089385</f>
        <v>1977.6035143189399</v>
      </c>
      <c r="S171">
        <f>Tableau1[[#This Row],[rho2]]*Tableau1[[#This Row],[u2]]*(Tableau1[[#This Row],[d2]]-(Tableau1[[#This Row],[d1]]+2*0.001))/0.0000184725</f>
        <v>8186.6651669303938</v>
      </c>
      <c r="T17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0.44166940519224446</v>
      </c>
      <c r="U171" t="e">
        <f>Tableau1[[#This Row],[S2]]/Tableau1[[#This Row],[S1]]*SQRT(Tableau1[[#This Row],[rho1]]/Tableau1[[#This Row],[rho2]])*Tableau1[[#This Row],[J]]^(1/2)*Tableau1[[#This Row],[d2]]/Tableau1[[#This Row],[d1]]</f>
        <v>#DIV/0!</v>
      </c>
      <c r="V171">
        <v>0.29577464788732394</v>
      </c>
      <c r="W171">
        <v>2.8301886792452827E-2</v>
      </c>
      <c r="X171">
        <v>8.2202757376980351E-2</v>
      </c>
      <c r="Y171">
        <v>1.1794664292299073</v>
      </c>
      <c r="Z171">
        <v>2.0099999999999998</v>
      </c>
      <c r="AA171">
        <v>28.84</v>
      </c>
      <c r="AB171">
        <f>Tableau1[[#This Row],[u2]]/Tableau1[[#This Row],[u1]]</f>
        <v>0.29812585332963454</v>
      </c>
      <c r="AC171">
        <f>ABS(Tableau1[[#This Row],[u2]]-Tableau1[[#This Row],[u1]])</f>
        <v>25.155067051206096</v>
      </c>
      <c r="AD171">
        <f>(Tableau1[[#This Row],[d1]]+0.002)/Tableau1[[#This Row],[d2]]</f>
        <v>0.4</v>
      </c>
      <c r="AE171" t="e">
        <f>Tableau1[[#This Row],[S2]]*Tableau1[[#This Row],[u2]]/(Tableau1[[#This Row],[S1]]*Tableau1[[#This Row],[u1]])*(1-Tableau1[[#This Row],[ALPHA]]^3)/(1-Tableau1[[#This Row],[ALPHA]]^4)</f>
        <v>#DIV/0!</v>
      </c>
      <c r="AF171" s="1">
        <v>0</v>
      </c>
      <c r="AG171" s="1" t="s">
        <v>53</v>
      </c>
      <c r="AH171" t="s">
        <v>61</v>
      </c>
      <c r="AI171" t="s">
        <v>42</v>
      </c>
      <c r="AJ171" t="s">
        <v>42</v>
      </c>
      <c r="AK171">
        <v>61</v>
      </c>
      <c r="AL171">
        <v>68</v>
      </c>
      <c r="AM171">
        <v>3.5477673324605927</v>
      </c>
    </row>
    <row r="172" spans="1:39" x14ac:dyDescent="0.25">
      <c r="A172" t="s">
        <v>217</v>
      </c>
      <c r="B172">
        <v>10</v>
      </c>
      <c r="C172">
        <v>1.2345679012345678</v>
      </c>
      <c r="D172">
        <v>0.86</v>
      </c>
      <c r="E172">
        <v>65535</v>
      </c>
      <c r="F172">
        <v>0</v>
      </c>
      <c r="G172">
        <v>0.55999999999999994</v>
      </c>
      <c r="H172" s="3">
        <f t="shared" si="0"/>
        <v>8.3300000000000005E-5</v>
      </c>
      <c r="I172">
        <v>3.3256812057091524E-3</v>
      </c>
      <c r="J172" s="3">
        <f t="shared" si="1"/>
        <v>8.3300000000000005E-5</v>
      </c>
      <c r="K172">
        <v>1.8926641008100867E-3</v>
      </c>
      <c r="L172">
        <v>6.0000000000000001E-3</v>
      </c>
      <c r="M172">
        <v>0.02</v>
      </c>
      <c r="N172" s="3">
        <f>Tableau1[[#This Row],[mH2]]/Tableau1[[#This Row],[rho1]]/(PI()*Tableau1[[#This Row],[d1]]^2/4)</f>
        <v>35.839854154109695</v>
      </c>
      <c r="O172">
        <f>Tableau1[[#This Row],[m2]]/Tableau1[[#This Row],[rho2]]/(PI()/4*(Tableau1[[#This Row],[d2]]^2-(Tableau1[[#This Row],[d1]]+2*0.001)^2))</f>
        <v>10.6847871029036</v>
      </c>
      <c r="P172">
        <v>4</v>
      </c>
      <c r="Q172" t="s">
        <v>165</v>
      </c>
      <c r="R172" s="3">
        <f>Tableau1[[#This Row],[rho1]]*Tableau1[[#This Row],[u1]]*Tableau1[[#This Row],[d1]]/0.0000089385</f>
        <v>1977.6035143189399</v>
      </c>
      <c r="S172">
        <f>Tableau1[[#This Row],[rho2]]*Tableau1[[#This Row],[u2]]*(Tableau1[[#This Row],[d2]]-(Tableau1[[#This Row],[d1]]+2*0.001))/0.0000184725</f>
        <v>8186.6651669303938</v>
      </c>
      <c r="T17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0.51528097272428519</v>
      </c>
      <c r="U172" t="e">
        <f>Tableau1[[#This Row],[S2]]/Tableau1[[#This Row],[S1]]*SQRT(Tableau1[[#This Row],[rho1]]/Tableau1[[#This Row],[rho2]])*Tableau1[[#This Row],[J]]^(1/2)*Tableau1[[#This Row],[d2]]/Tableau1[[#This Row],[d1]]</f>
        <v>#DIV/0!</v>
      </c>
      <c r="V172">
        <v>0.29577464788732394</v>
      </c>
      <c r="W172">
        <v>2.8301886792452827E-2</v>
      </c>
      <c r="X172">
        <v>8.2202757376980351E-2</v>
      </c>
      <c r="Y172">
        <v>1.1794664292299073</v>
      </c>
      <c r="Z172">
        <v>2.0099999999999998</v>
      </c>
      <c r="AA172">
        <v>28.84</v>
      </c>
      <c r="AB172">
        <f>Tableau1[[#This Row],[u2]]/Tableau1[[#This Row],[u1]]</f>
        <v>0.29812585332963454</v>
      </c>
      <c r="AC172">
        <f>ABS(Tableau1[[#This Row],[u2]]-Tableau1[[#This Row],[u1]])</f>
        <v>25.155067051206096</v>
      </c>
      <c r="AD172">
        <f>(Tableau1[[#This Row],[d1]]+0.002)/Tableau1[[#This Row],[d2]]</f>
        <v>0.4</v>
      </c>
      <c r="AE172" t="e">
        <f>Tableau1[[#This Row],[S2]]*Tableau1[[#This Row],[u2]]/(Tableau1[[#This Row],[S1]]*Tableau1[[#This Row],[u1]])*(1-Tableau1[[#This Row],[ALPHA]]^3)/(1-Tableau1[[#This Row],[ALPHA]]^4)</f>
        <v>#DIV/0!</v>
      </c>
      <c r="AF172" s="1">
        <v>1</v>
      </c>
      <c r="AG172" s="1" t="s">
        <v>40</v>
      </c>
      <c r="AH172" t="s">
        <v>41</v>
      </c>
      <c r="AI172" t="s">
        <v>42</v>
      </c>
      <c r="AJ172" t="s">
        <v>42</v>
      </c>
      <c r="AK172">
        <v>59.4</v>
      </c>
      <c r="AL172">
        <v>66.7</v>
      </c>
      <c r="AM172">
        <v>3.4799423687517872</v>
      </c>
    </row>
    <row r="173" spans="1:39" x14ac:dyDescent="0.25">
      <c r="A173" t="s">
        <v>218</v>
      </c>
      <c r="B173">
        <v>10</v>
      </c>
      <c r="C173">
        <v>1.2345679012345678</v>
      </c>
      <c r="D173">
        <v>0.86</v>
      </c>
      <c r="E173">
        <v>65535</v>
      </c>
      <c r="F173">
        <v>0</v>
      </c>
      <c r="G173">
        <v>0.64000000000000012</v>
      </c>
      <c r="H173" s="3">
        <f t="shared" si="0"/>
        <v>8.3300000000000005E-5</v>
      </c>
      <c r="I173">
        <v>3.3256812057091524E-3</v>
      </c>
      <c r="J173" s="3">
        <f t="shared" si="1"/>
        <v>8.3300000000000005E-5</v>
      </c>
      <c r="K173">
        <v>2.1630446866400992E-3</v>
      </c>
      <c r="L173">
        <v>6.0000000000000001E-3</v>
      </c>
      <c r="M173">
        <v>0.02</v>
      </c>
      <c r="N173" s="3">
        <f>Tableau1[[#This Row],[mH2]]/Tableau1[[#This Row],[rho1]]/(PI()*Tableau1[[#This Row],[d1]]^2/4)</f>
        <v>35.839854154109695</v>
      </c>
      <c r="O173">
        <f>Tableau1[[#This Row],[m2]]/Tableau1[[#This Row],[rho2]]/(PI()/4*(Tableau1[[#This Row],[d2]]^2-(Tableau1[[#This Row],[d1]]+2*0.001)^2))</f>
        <v>10.6847871029036</v>
      </c>
      <c r="P173">
        <v>4</v>
      </c>
      <c r="Q173" t="s">
        <v>165</v>
      </c>
      <c r="R173" s="3">
        <f>Tableau1[[#This Row],[rho1]]*Tableau1[[#This Row],[u1]]*Tableau1[[#This Row],[d1]]/0.0000089385</f>
        <v>1977.6035143189399</v>
      </c>
      <c r="S173">
        <f>Tableau1[[#This Row],[rho2]]*Tableau1[[#This Row],[u2]]*(Tableau1[[#This Row],[d2]]-(Tableau1[[#This Row],[d1]]+2*0.001))/0.0000184725</f>
        <v>8186.6651669303938</v>
      </c>
      <c r="T17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0.58889254025632609</v>
      </c>
      <c r="U173" t="e">
        <f>Tableau1[[#This Row],[S2]]/Tableau1[[#This Row],[S1]]*SQRT(Tableau1[[#This Row],[rho1]]/Tableau1[[#This Row],[rho2]])*Tableau1[[#This Row],[J]]^(1/2)*Tableau1[[#This Row],[d2]]/Tableau1[[#This Row],[d1]]</f>
        <v>#DIV/0!</v>
      </c>
      <c r="V173">
        <v>0.29577464788732394</v>
      </c>
      <c r="W173">
        <v>2.8301886792452827E-2</v>
      </c>
      <c r="X173">
        <v>8.2202757376980351E-2</v>
      </c>
      <c r="Y173">
        <v>1.1794664292299073</v>
      </c>
      <c r="Z173">
        <v>2.0099999999999998</v>
      </c>
      <c r="AA173">
        <v>28.84</v>
      </c>
      <c r="AB173">
        <f>Tableau1[[#This Row],[u2]]/Tableau1[[#This Row],[u1]]</f>
        <v>0.29812585332963454</v>
      </c>
      <c r="AC173">
        <f>ABS(Tableau1[[#This Row],[u2]]-Tableau1[[#This Row],[u1]])</f>
        <v>25.155067051206096</v>
      </c>
      <c r="AD173">
        <f>(Tableau1[[#This Row],[d1]]+0.002)/Tableau1[[#This Row],[d2]]</f>
        <v>0.4</v>
      </c>
      <c r="AE173" t="e">
        <f>Tableau1[[#This Row],[S2]]*Tableau1[[#This Row],[u2]]/(Tableau1[[#This Row],[S1]]*Tableau1[[#This Row],[u1]])*(1-Tableau1[[#This Row],[ALPHA]]^3)/(1-Tableau1[[#This Row],[ALPHA]]^4)</f>
        <v>#DIV/0!</v>
      </c>
      <c r="AF173" s="1">
        <v>1</v>
      </c>
      <c r="AG173" s="1" t="s">
        <v>40</v>
      </c>
      <c r="AH173" t="s">
        <v>41</v>
      </c>
      <c r="AI173" t="s">
        <v>42</v>
      </c>
      <c r="AJ173" t="s">
        <v>42</v>
      </c>
      <c r="AK173">
        <v>42.5</v>
      </c>
      <c r="AL173">
        <v>43.5</v>
      </c>
      <c r="AM173">
        <v>2.2695276317946438</v>
      </c>
    </row>
    <row r="174" spans="1:39" x14ac:dyDescent="0.25">
      <c r="A174" t="s">
        <v>201</v>
      </c>
      <c r="B174">
        <v>10</v>
      </c>
      <c r="C174">
        <v>24.999999999999996</v>
      </c>
      <c r="D174">
        <v>0.19</v>
      </c>
      <c r="E174">
        <v>65535</v>
      </c>
      <c r="F174">
        <v>0</v>
      </c>
      <c r="G174">
        <v>0.55999999999999994</v>
      </c>
      <c r="H174" s="3">
        <f t="shared" si="0"/>
        <v>8.3300000000000005E-5</v>
      </c>
      <c r="I174">
        <v>1.5053083352157215E-2</v>
      </c>
      <c r="J174" s="3">
        <f t="shared" si="1"/>
        <v>8.3300000000000005E-5</v>
      </c>
      <c r="K174">
        <v>8.566795403666708E-3</v>
      </c>
      <c r="L174">
        <v>6.0000000000000001E-3</v>
      </c>
      <c r="M174">
        <v>0.02</v>
      </c>
      <c r="N174" s="3">
        <f>Tableau1[[#This Row],[mH2]]/Tableau1[[#This Row],[rho1]]/(PI()*Tableau1[[#This Row],[d1]]^2/4)</f>
        <v>35.839854154109695</v>
      </c>
      <c r="O174">
        <f>Tableau1[[#This Row],[m2]]/Tableau1[[#This Row],[rho2]]/(PI()/4*(Tableau1[[#This Row],[d2]]^2-(Tableau1[[#This Row],[d1]]+2*0.001)^2))</f>
        <v>48.362720571037343</v>
      </c>
      <c r="P174">
        <v>4</v>
      </c>
      <c r="Q174" t="s">
        <v>165</v>
      </c>
      <c r="R174" s="3">
        <f>Tableau1[[#This Row],[rho1]]*Tableau1[[#This Row],[u1]]*Tableau1[[#This Row],[d1]]/0.0000089385</f>
        <v>1977.6035143189399</v>
      </c>
      <c r="S174">
        <f>Tableau1[[#This Row],[rho2]]*Tableau1[[#This Row],[u2]]*(Tableau1[[#This Row],[d2]]-(Tableau1[[#This Row],[d1]]+2*0.001))/0.0000184725</f>
        <v>37055.431808211259</v>
      </c>
      <c r="T17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0.55761024182076813</v>
      </c>
      <c r="U174" t="e">
        <f>Tableau1[[#This Row],[S2]]/Tableau1[[#This Row],[S1]]*SQRT(Tableau1[[#This Row],[rho1]]/Tableau1[[#This Row],[rho2]])*Tableau1[[#This Row],[J]]^(1/2)*Tableau1[[#This Row],[d2]]/Tableau1[[#This Row],[d1]]</f>
        <v>#DIV/0!</v>
      </c>
      <c r="V174">
        <v>0.29577464788732394</v>
      </c>
      <c r="W174">
        <v>2.8301886792452827E-2</v>
      </c>
      <c r="X174">
        <v>8.2202757376980351E-2</v>
      </c>
      <c r="Y174">
        <v>1.1794664292299073</v>
      </c>
      <c r="Z174">
        <v>2.0099999999999998</v>
      </c>
      <c r="AA174">
        <v>28.84</v>
      </c>
      <c r="AB174">
        <f>Tableau1[[#This Row],[u2]]/Tableau1[[#This Row],[u1]]</f>
        <v>1.3494117571762405</v>
      </c>
      <c r="AC174">
        <f>ABS(Tableau1[[#This Row],[u2]]-Tableau1[[#This Row],[u1]])</f>
        <v>12.522866416927648</v>
      </c>
      <c r="AD174">
        <f>(Tableau1[[#This Row],[d1]]+0.002)/Tableau1[[#This Row],[d2]]</f>
        <v>0.4</v>
      </c>
      <c r="AE174" t="e">
        <f>Tableau1[[#This Row],[S2]]*Tableau1[[#This Row],[u2]]/(Tableau1[[#This Row],[S1]]*Tableau1[[#This Row],[u1]])*(1-Tableau1[[#This Row],[ALPHA]]^3)/(1-Tableau1[[#This Row],[ALPHA]]^4)</f>
        <v>#DIV/0!</v>
      </c>
      <c r="AF174" s="1">
        <v>1</v>
      </c>
      <c r="AG174" s="1" t="s">
        <v>40</v>
      </c>
      <c r="AH174" t="s">
        <v>41</v>
      </c>
      <c r="AI174" t="s">
        <v>42</v>
      </c>
      <c r="AJ174" t="s">
        <v>42</v>
      </c>
      <c r="AK174">
        <v>1.9</v>
      </c>
      <c r="AL174">
        <v>3.8</v>
      </c>
      <c r="AM174">
        <v>1.0515496779561309</v>
      </c>
    </row>
    <row r="175" spans="1:39" x14ac:dyDescent="0.25">
      <c r="A175" t="s">
        <v>219</v>
      </c>
      <c r="B175">
        <v>10</v>
      </c>
      <c r="C175">
        <v>24.999999999999996</v>
      </c>
      <c r="D175">
        <v>0.19</v>
      </c>
      <c r="E175">
        <v>65535</v>
      </c>
      <c r="F175">
        <v>0.28999999999999998</v>
      </c>
      <c r="G175">
        <v>0.48</v>
      </c>
      <c r="H175" s="3">
        <f t="shared" si="0"/>
        <v>8.3300000000000005E-5</v>
      </c>
      <c r="I175">
        <v>1.5053083352157215E-2</v>
      </c>
      <c r="J175" s="3">
        <f t="shared" si="1"/>
        <v>8.3300000000000005E-5</v>
      </c>
      <c r="K175">
        <v>7.3429674888571776E-3</v>
      </c>
      <c r="L175">
        <v>6.0000000000000001E-3</v>
      </c>
      <c r="M175">
        <v>0.02</v>
      </c>
      <c r="N175" s="3">
        <f>Tableau1[[#This Row],[mH2]]/Tableau1[[#This Row],[rho1]]/(PI()*Tableau1[[#This Row],[d1]]^2/4)</f>
        <v>35.839854154109695</v>
      </c>
      <c r="O175">
        <f>Tableau1[[#This Row],[m2]]/Tableau1[[#This Row],[rho2]]/(PI()/4*(Tableau1[[#This Row],[d2]]^2-(Tableau1[[#This Row],[d1]]+2*0.001)^2))</f>
        <v>48.362720571037343</v>
      </c>
      <c r="P175">
        <v>4</v>
      </c>
      <c r="Q175" t="s">
        <v>165</v>
      </c>
      <c r="R175" s="3">
        <f>Tableau1[[#This Row],[rho1]]*Tableau1[[#This Row],[u1]]*Tableau1[[#This Row],[d1]]/0.0000089385</f>
        <v>1977.6035143189399</v>
      </c>
      <c r="S175">
        <f>Tableau1[[#This Row],[rho2]]*Tableau1[[#This Row],[u2]]*(Tableau1[[#This Row],[d2]]-(Tableau1[[#This Row],[d1]]+2*0.001))/0.0000184725</f>
        <v>37055.431808211259</v>
      </c>
      <c r="T17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0.47832290184921761</v>
      </c>
      <c r="U175">
        <f>Tableau1[[#This Row],[S2]]/Tableau1[[#This Row],[S1]]*SQRT(Tableau1[[#This Row],[rho1]]/Tableau1[[#This Row],[rho2]])*Tableau1[[#This Row],[J]]^(1/2)*Tableau1[[#This Row],[d2]]/Tableau1[[#This Row],[d1]]</f>
        <v>7.2826994897577313</v>
      </c>
      <c r="V175">
        <v>0.29577464788732394</v>
      </c>
      <c r="W175">
        <v>2.8301886792452827E-2</v>
      </c>
      <c r="X175">
        <v>8.2202757376980351E-2</v>
      </c>
      <c r="Y175">
        <v>1.1794664292299073</v>
      </c>
      <c r="Z175">
        <v>2.0099999999999998</v>
      </c>
      <c r="AA175">
        <v>28.84</v>
      </c>
      <c r="AB175">
        <f>Tableau1[[#This Row],[u2]]/Tableau1[[#This Row],[u1]]</f>
        <v>1.3494117571762405</v>
      </c>
      <c r="AC175">
        <f>ABS(Tableau1[[#This Row],[u2]]-Tableau1[[#This Row],[u1]])</f>
        <v>12.522866416927648</v>
      </c>
      <c r="AD175">
        <f>(Tableau1[[#This Row],[d1]]+0.002)/Tableau1[[#This Row],[d2]]</f>
        <v>0.4</v>
      </c>
      <c r="AE175">
        <f>Tableau1[[#This Row],[S2]]*Tableau1[[#This Row],[u2]]/(Tableau1[[#This Row],[S1]]*Tableau1[[#This Row],[u1]])*(1-Tableau1[[#This Row],[ALPHA]]^3)/(1-Tableau1[[#This Row],[ALPHA]]^4)</f>
        <v>2.1454890516680165</v>
      </c>
      <c r="AF175">
        <v>0</v>
      </c>
      <c r="AG175" s="1" t="s">
        <v>53</v>
      </c>
      <c r="AH175" t="s">
        <v>61</v>
      </c>
      <c r="AI175" t="s">
        <v>42</v>
      </c>
      <c r="AJ175" t="s">
        <v>42</v>
      </c>
      <c r="AK175">
        <v>1</v>
      </c>
      <c r="AL175">
        <v>3.5</v>
      </c>
      <c r="AM175">
        <v>0.96853259811748893</v>
      </c>
    </row>
    <row r="176" spans="1:39" x14ac:dyDescent="0.25">
      <c r="A176" t="s">
        <v>220</v>
      </c>
      <c r="B176">
        <v>10</v>
      </c>
      <c r="C176">
        <v>24.999999999999996</v>
      </c>
      <c r="D176">
        <v>0.19</v>
      </c>
      <c r="E176">
        <v>65535</v>
      </c>
      <c r="F176">
        <v>0.28999999999999998</v>
      </c>
      <c r="G176">
        <v>0.55999999999999994</v>
      </c>
      <c r="H176" s="3">
        <f t="shared" si="0"/>
        <v>8.3300000000000005E-5</v>
      </c>
      <c r="I176">
        <v>1.5053083352157215E-2</v>
      </c>
      <c r="J176" s="3">
        <f t="shared" si="1"/>
        <v>8.3300000000000005E-5</v>
      </c>
      <c r="K176">
        <v>8.566795403666708E-3</v>
      </c>
      <c r="L176">
        <v>6.0000000000000001E-3</v>
      </c>
      <c r="M176">
        <v>0.02</v>
      </c>
      <c r="N176" s="3">
        <f>Tableau1[[#This Row],[mH2]]/Tableau1[[#This Row],[rho1]]/(PI()*Tableau1[[#This Row],[d1]]^2/4)</f>
        <v>35.839854154109695</v>
      </c>
      <c r="O176">
        <f>Tableau1[[#This Row],[m2]]/Tableau1[[#This Row],[rho2]]/(PI()/4*(Tableau1[[#This Row],[d2]]^2-(Tableau1[[#This Row],[d1]]+2*0.001)^2))</f>
        <v>48.362720571037343</v>
      </c>
      <c r="P176">
        <v>4</v>
      </c>
      <c r="Q176" t="s">
        <v>165</v>
      </c>
      <c r="R176" s="3">
        <f>Tableau1[[#This Row],[rho1]]*Tableau1[[#This Row],[u1]]*Tableau1[[#This Row],[d1]]/0.0000089385</f>
        <v>1977.6035143189399</v>
      </c>
      <c r="S176">
        <f>Tableau1[[#This Row],[rho2]]*Tableau1[[#This Row],[u2]]*(Tableau1[[#This Row],[d2]]-(Tableau1[[#This Row],[d1]]+2*0.001))/0.0000184725</f>
        <v>37055.431808211259</v>
      </c>
      <c r="T17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0.55798150782361311</v>
      </c>
      <c r="U176">
        <f>Tableau1[[#This Row],[S2]]/Tableau1[[#This Row],[S1]]*SQRT(Tableau1[[#This Row],[rho1]]/Tableau1[[#This Row],[rho2]])*Tableau1[[#This Row],[J]]^(1/2)*Tableau1[[#This Row],[d2]]/Tableau1[[#This Row],[d1]]</f>
        <v>8.4964827380506875</v>
      </c>
      <c r="V176">
        <v>0.29577464788732394</v>
      </c>
      <c r="W176">
        <v>2.8301886792452827E-2</v>
      </c>
      <c r="X176">
        <v>8.2202757376980351E-2</v>
      </c>
      <c r="Y176">
        <v>1.1794664292299073</v>
      </c>
      <c r="Z176">
        <v>2.0099999999999998</v>
      </c>
      <c r="AA176">
        <v>28.84</v>
      </c>
      <c r="AB176">
        <f>Tableau1[[#This Row],[u2]]/Tableau1[[#This Row],[u1]]</f>
        <v>1.3494117571762405</v>
      </c>
      <c r="AC176">
        <f>ABS(Tableau1[[#This Row],[u2]]-Tableau1[[#This Row],[u1]])</f>
        <v>12.522866416927648</v>
      </c>
      <c r="AD176">
        <f>(Tableau1[[#This Row],[d1]]+0.002)/Tableau1[[#This Row],[d2]]</f>
        <v>0.4</v>
      </c>
      <c r="AE176">
        <f>Tableau1[[#This Row],[S2]]*Tableau1[[#This Row],[u2]]/(Tableau1[[#This Row],[S1]]*Tableau1[[#This Row],[u1]])*(1-Tableau1[[#This Row],[ALPHA]]^3)/(1-Tableau1[[#This Row],[ALPHA]]^4)</f>
        <v>2.5030705602793519</v>
      </c>
      <c r="AF176" s="1">
        <v>0</v>
      </c>
      <c r="AG176" s="1" t="s">
        <v>58</v>
      </c>
      <c r="AH176" t="s">
        <v>59</v>
      </c>
      <c r="AI176" t="s">
        <v>42</v>
      </c>
      <c r="AJ176" t="s">
        <v>42</v>
      </c>
      <c r="AK176">
        <v>2.8</v>
      </c>
      <c r="AL176">
        <v>4.5</v>
      </c>
      <c r="AM176">
        <v>1.2452561975796288</v>
      </c>
    </row>
    <row r="177" spans="1:39" x14ac:dyDescent="0.25">
      <c r="A177" t="s">
        <v>221</v>
      </c>
      <c r="B177">
        <v>10</v>
      </c>
      <c r="C177">
        <v>11.111111111111111</v>
      </c>
      <c r="D177">
        <v>0.28999999999999998</v>
      </c>
      <c r="E177">
        <v>65535</v>
      </c>
      <c r="F177">
        <v>0.28999999999999998</v>
      </c>
      <c r="G177">
        <v>0.48</v>
      </c>
      <c r="H177" s="3">
        <f t="shared" si="0"/>
        <v>8.3300000000000005E-5</v>
      </c>
      <c r="I177">
        <v>9.862364954861624E-3</v>
      </c>
      <c r="J177" s="3">
        <f t="shared" si="1"/>
        <v>8.3300000000000005E-5</v>
      </c>
      <c r="K177">
        <v>4.8109097340788406E-3</v>
      </c>
      <c r="L177">
        <v>6.0000000000000001E-3</v>
      </c>
      <c r="M177">
        <v>0.02</v>
      </c>
      <c r="N177" s="3">
        <f>Tableau1[[#This Row],[mH2]]/Tableau1[[#This Row],[rho1]]/(PI()*Tableau1[[#This Row],[d1]]^2/4)</f>
        <v>35.839854154109695</v>
      </c>
      <c r="O177">
        <f>Tableau1[[#This Row],[m2]]/Tableau1[[#This Row],[rho2]]/(PI()/4*(Tableau1[[#This Row],[d2]]^2-(Tableau1[[#This Row],[d1]]+2*0.001)^2))</f>
        <v>31.685920374127917</v>
      </c>
      <c r="P177">
        <v>4</v>
      </c>
      <c r="Q177" t="s">
        <v>165</v>
      </c>
      <c r="R177" s="3">
        <f>Tableau1[[#This Row],[rho1]]*Tableau1[[#This Row],[u1]]*Tableau1[[#This Row],[d1]]/0.0000089385</f>
        <v>1977.6035143189399</v>
      </c>
      <c r="S177">
        <f>Tableau1[[#This Row],[rho2]]*Tableau1[[#This Row],[u2]]*(Tableau1[[#This Row],[d2]]-(Tableau1[[#This Row],[d1]]+2*0.001))/0.0000184725</f>
        <v>24277.696701931513</v>
      </c>
      <c r="T17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0.4762465511142554</v>
      </c>
      <c r="U177">
        <f>Tableau1[[#This Row],[S2]]/Tableau1[[#This Row],[S1]]*SQRT(Tableau1[[#This Row],[rho1]]/Tableau1[[#This Row],[rho2]])*Tableau1[[#This Row],[J]]^(1/2)*Tableau1[[#This Row],[d2]]/Tableau1[[#This Row],[d1]]</f>
        <v>4.8551329931718206</v>
      </c>
      <c r="V177">
        <v>0.29577464788732394</v>
      </c>
      <c r="W177">
        <v>2.8301886792452827E-2</v>
      </c>
      <c r="X177">
        <v>8.2202757376980351E-2</v>
      </c>
      <c r="Y177">
        <v>1.1794664292299073</v>
      </c>
      <c r="Z177">
        <v>2.0099999999999998</v>
      </c>
      <c r="AA177">
        <v>28.84</v>
      </c>
      <c r="AB177">
        <f>Tableau1[[#This Row],[u2]]/Tableau1[[#This Row],[u1]]</f>
        <v>0.88409735814995072</v>
      </c>
      <c r="AC177">
        <f>ABS(Tableau1[[#This Row],[u2]]-Tableau1[[#This Row],[u1]])</f>
        <v>4.1539337799817773</v>
      </c>
      <c r="AD177">
        <f>(Tableau1[[#This Row],[d1]]+0.002)/Tableau1[[#This Row],[d2]]</f>
        <v>0.4</v>
      </c>
      <c r="AE177">
        <f>Tableau1[[#This Row],[S2]]*Tableau1[[#This Row],[u2]]/(Tableau1[[#This Row],[S1]]*Tableau1[[#This Row],[u1]])*(1-Tableau1[[#This Row],[ALPHA]]^3)/(1-Tableau1[[#This Row],[ALPHA]]^4)</f>
        <v>1.4056652407480108</v>
      </c>
      <c r="AF177" s="1">
        <v>0</v>
      </c>
      <c r="AG177" s="1" t="s">
        <v>53</v>
      </c>
      <c r="AH177" t="s">
        <v>61</v>
      </c>
      <c r="AI177" t="s">
        <v>42</v>
      </c>
      <c r="AJ177" t="s">
        <v>42</v>
      </c>
      <c r="AK177" t="s">
        <v>44</v>
      </c>
      <c r="AL177">
        <v>2.7</v>
      </c>
      <c r="AM177">
        <v>0.47880243651783289</v>
      </c>
    </row>
    <row r="178" spans="1:39" x14ac:dyDescent="0.25">
      <c r="A178" t="s">
        <v>222</v>
      </c>
      <c r="B178">
        <v>10</v>
      </c>
      <c r="C178">
        <v>11.111111111111111</v>
      </c>
      <c r="D178">
        <v>0.28999999999999998</v>
      </c>
      <c r="E178">
        <v>65535</v>
      </c>
      <c r="F178">
        <v>0.28999999999999998</v>
      </c>
      <c r="G178">
        <v>0.55999999999999994</v>
      </c>
      <c r="H178" s="3">
        <f t="shared" si="0"/>
        <v>8.3300000000000005E-5</v>
      </c>
      <c r="I178">
        <v>9.862364954861624E-3</v>
      </c>
      <c r="J178" s="3">
        <f t="shared" si="1"/>
        <v>8.3300000000000005E-5</v>
      </c>
      <c r="K178">
        <v>5.6127280230919814E-3</v>
      </c>
      <c r="L178">
        <v>6.0000000000000001E-3</v>
      </c>
      <c r="M178">
        <v>0.02</v>
      </c>
      <c r="N178" s="3">
        <f>Tableau1[[#This Row],[mH2]]/Tableau1[[#This Row],[rho1]]/(PI()*Tableau1[[#This Row],[d1]]^2/4)</f>
        <v>35.839854154109695</v>
      </c>
      <c r="O178">
        <f>Tableau1[[#This Row],[m2]]/Tableau1[[#This Row],[rho2]]/(PI()/4*(Tableau1[[#This Row],[d2]]^2-(Tableau1[[#This Row],[d1]]+2*0.001)^2))</f>
        <v>31.685920374127917</v>
      </c>
      <c r="P178">
        <v>4</v>
      </c>
      <c r="Q178" t="s">
        <v>165</v>
      </c>
      <c r="R178" s="3">
        <f>Tableau1[[#This Row],[rho1]]*Tableau1[[#This Row],[u1]]*Tableau1[[#This Row],[d1]]/0.0000089385</f>
        <v>1977.6035143189399</v>
      </c>
      <c r="S178">
        <f>Tableau1[[#This Row],[rho2]]*Tableau1[[#This Row],[u2]]*(Tableau1[[#This Row],[d2]]-(Tableau1[[#This Row],[d1]]+2*0.001))/0.0000184725</f>
        <v>24277.696701931513</v>
      </c>
      <c r="T17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0.55548249027237351</v>
      </c>
      <c r="U178">
        <f>Tableau1[[#This Row],[S2]]/Tableau1[[#This Row],[S1]]*SQRT(Tableau1[[#This Row],[rho1]]/Tableau1[[#This Row],[rho2]])*Tableau1[[#This Row],[J]]^(1/2)*Tableau1[[#This Row],[d2]]/Tableau1[[#This Row],[d1]]</f>
        <v>5.664321825367125</v>
      </c>
      <c r="V178">
        <v>0.29577464788732394</v>
      </c>
      <c r="W178">
        <v>2.8301886792452827E-2</v>
      </c>
      <c r="X178">
        <v>8.2202757376980351E-2</v>
      </c>
      <c r="Y178">
        <v>1.1794664292299073</v>
      </c>
      <c r="Z178">
        <v>2.0099999999999998</v>
      </c>
      <c r="AA178">
        <v>28.84</v>
      </c>
      <c r="AB178">
        <f>Tableau1[[#This Row],[u2]]/Tableau1[[#This Row],[u1]]</f>
        <v>0.88409735814995072</v>
      </c>
      <c r="AC178">
        <f>ABS(Tableau1[[#This Row],[u2]]-Tableau1[[#This Row],[u1]])</f>
        <v>4.1539337799817773</v>
      </c>
      <c r="AD178">
        <f>(Tableau1[[#This Row],[d1]]+0.002)/Tableau1[[#This Row],[d2]]</f>
        <v>0.4</v>
      </c>
      <c r="AE178">
        <f>Tableau1[[#This Row],[S2]]*Tableau1[[#This Row],[u2]]/(Tableau1[[#This Row],[S1]]*Tableau1[[#This Row],[u1]])*(1-Tableau1[[#This Row],[ALPHA]]^3)/(1-Tableau1[[#This Row],[ALPHA]]^4)</f>
        <v>1.6399427808726792</v>
      </c>
      <c r="AF178" s="1">
        <v>0</v>
      </c>
      <c r="AG178" s="1" t="s">
        <v>53</v>
      </c>
      <c r="AH178" t="s">
        <v>61</v>
      </c>
      <c r="AI178" t="s">
        <v>42</v>
      </c>
      <c r="AJ178" t="s">
        <v>42</v>
      </c>
      <c r="AK178">
        <v>2.2000000000000002</v>
      </c>
      <c r="AL178">
        <v>8.5</v>
      </c>
      <c r="AM178">
        <v>1.5073410038524369</v>
      </c>
    </row>
    <row r="179" spans="1:39" x14ac:dyDescent="0.25">
      <c r="A179" t="s">
        <v>223</v>
      </c>
      <c r="B179">
        <v>10</v>
      </c>
      <c r="C179">
        <v>11.111111111111111</v>
      </c>
      <c r="D179">
        <v>0.28999999999999998</v>
      </c>
      <c r="E179">
        <v>65535</v>
      </c>
      <c r="F179">
        <v>0.28999999999999998</v>
      </c>
      <c r="G179">
        <v>0.64000000000000012</v>
      </c>
      <c r="H179" s="3">
        <f t="shared" si="0"/>
        <v>8.3300000000000005E-5</v>
      </c>
      <c r="I179">
        <v>9.862364954861624E-3</v>
      </c>
      <c r="J179" s="3">
        <f t="shared" si="1"/>
        <v>8.3300000000000005E-5</v>
      </c>
      <c r="K179">
        <v>6.4145463121051214E-3</v>
      </c>
      <c r="L179">
        <v>6.0000000000000001E-3</v>
      </c>
      <c r="M179">
        <v>0.02</v>
      </c>
      <c r="N179" s="3">
        <f>Tableau1[[#This Row],[mH2]]/Tableau1[[#This Row],[rho1]]/(PI()*Tableau1[[#This Row],[d1]]^2/4)</f>
        <v>35.839854154109695</v>
      </c>
      <c r="O179">
        <f>Tableau1[[#This Row],[m2]]/Tableau1[[#This Row],[rho2]]/(PI()/4*(Tableau1[[#This Row],[d2]]^2-(Tableau1[[#This Row],[d1]]+2*0.001)^2))</f>
        <v>31.685920374127917</v>
      </c>
      <c r="P179">
        <v>4</v>
      </c>
      <c r="Q179" t="s">
        <v>165</v>
      </c>
      <c r="R179" s="3">
        <f>Tableau1[[#This Row],[rho1]]*Tableau1[[#This Row],[u1]]*Tableau1[[#This Row],[d1]]/0.0000089385</f>
        <v>1977.6035143189399</v>
      </c>
      <c r="S179">
        <f>Tableau1[[#This Row],[rho2]]*Tableau1[[#This Row],[u2]]*(Tableau1[[#This Row],[d2]]-(Tableau1[[#This Row],[d1]]+2*0.001))/0.0000184725</f>
        <v>24277.696701931513</v>
      </c>
      <c r="T17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0.63471842943049184</v>
      </c>
      <c r="U179">
        <f>Tableau1[[#This Row],[S2]]/Tableau1[[#This Row],[S1]]*SQRT(Tableau1[[#This Row],[rho1]]/Tableau1[[#This Row],[rho2]])*Tableau1[[#This Row],[J]]^(1/2)*Tableau1[[#This Row],[d2]]/Tableau1[[#This Row],[d1]]</f>
        <v>6.4735106575624286</v>
      </c>
      <c r="V179">
        <v>0.29577464788732394</v>
      </c>
      <c r="W179">
        <v>2.8301886792452827E-2</v>
      </c>
      <c r="X179">
        <v>8.2202757376980351E-2</v>
      </c>
      <c r="Y179">
        <v>1.1794664292299073</v>
      </c>
      <c r="Z179">
        <v>2.0099999999999998</v>
      </c>
      <c r="AA179">
        <v>28.84</v>
      </c>
      <c r="AB179">
        <f>Tableau1[[#This Row],[u2]]/Tableau1[[#This Row],[u1]]</f>
        <v>0.88409735814995072</v>
      </c>
      <c r="AC179">
        <f>ABS(Tableau1[[#This Row],[u2]]-Tableau1[[#This Row],[u1]])</f>
        <v>4.1539337799817773</v>
      </c>
      <c r="AD179">
        <f>(Tableau1[[#This Row],[d1]]+0.002)/Tableau1[[#This Row],[d2]]</f>
        <v>0.4</v>
      </c>
      <c r="AE179">
        <f>Tableau1[[#This Row],[S2]]*Tableau1[[#This Row],[u2]]/(Tableau1[[#This Row],[S1]]*Tableau1[[#This Row],[u1]])*(1-Tableau1[[#This Row],[ALPHA]]^3)/(1-Tableau1[[#This Row],[ALPHA]]^4)</f>
        <v>1.8742203209973483</v>
      </c>
      <c r="AF179" s="1">
        <v>1</v>
      </c>
      <c r="AG179" s="1" t="s">
        <v>40</v>
      </c>
      <c r="AH179" t="s">
        <v>47</v>
      </c>
      <c r="AI179" t="s">
        <v>42</v>
      </c>
      <c r="AJ179" t="s">
        <v>42</v>
      </c>
      <c r="AK179">
        <v>0.2</v>
      </c>
      <c r="AL179">
        <v>3.9</v>
      </c>
      <c r="AM179">
        <v>0.69160351941464748</v>
      </c>
    </row>
    <row r="180" spans="1:39" x14ac:dyDescent="0.25">
      <c r="A180" t="s">
        <v>224</v>
      </c>
      <c r="B180">
        <v>10</v>
      </c>
      <c r="C180">
        <v>6.2499999999999991</v>
      </c>
      <c r="D180">
        <v>0.39</v>
      </c>
      <c r="E180">
        <v>65535</v>
      </c>
      <c r="F180">
        <v>0.28999999999999998</v>
      </c>
      <c r="G180">
        <v>0.48</v>
      </c>
      <c r="H180" s="3">
        <f t="shared" si="0"/>
        <v>8.3300000000000005E-5</v>
      </c>
      <c r="I180">
        <v>7.3335534279740282E-3</v>
      </c>
      <c r="J180" s="3">
        <f t="shared" si="1"/>
        <v>8.3300000000000005E-5</v>
      </c>
      <c r="K180">
        <v>3.5773431355970867E-3</v>
      </c>
      <c r="L180">
        <v>6.0000000000000001E-3</v>
      </c>
      <c r="M180">
        <v>0.02</v>
      </c>
      <c r="N180" s="3">
        <f>Tableau1[[#This Row],[mH2]]/Tableau1[[#This Row],[rho1]]/(PI()*Tableau1[[#This Row],[d1]]^2/4)</f>
        <v>35.839854154109695</v>
      </c>
      <c r="O180">
        <f>Tableau1[[#This Row],[m2]]/Tableau1[[#This Row],[rho2]]/(PI()/4*(Tableau1[[#This Row],[d2]]^2-(Tableau1[[#This Row],[d1]]+2*0.001)^2))</f>
        <v>23.561325406402812</v>
      </c>
      <c r="P180">
        <v>4</v>
      </c>
      <c r="Q180" t="s">
        <v>165</v>
      </c>
      <c r="R180" s="3">
        <f>Tableau1[[#This Row],[rho1]]*Tableau1[[#This Row],[u1]]*Tableau1[[#This Row],[d1]]/0.0000089385</f>
        <v>1977.6035143189399</v>
      </c>
      <c r="S180">
        <f>Tableau1[[#This Row],[rho2]]*Tableau1[[#This Row],[u2]]*(Tableau1[[#This Row],[d2]]-(Tableau1[[#This Row],[d1]]+2*0.001))/0.0000184725</f>
        <v>18052.64626553882</v>
      </c>
      <c r="T18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0.47337640449438201</v>
      </c>
      <c r="U180">
        <f>Tableau1[[#This Row],[S2]]/Tableau1[[#This Row],[S1]]*SQRT(Tableau1[[#This Row],[rho1]]/Tableau1[[#This Row],[rho2]])*Tableau1[[#This Row],[J]]^(1/2)*Tableau1[[#This Row],[d2]]/Tableau1[[#This Row],[d1]]</f>
        <v>3.6413497448788656</v>
      </c>
      <c r="V180">
        <v>0.29577464788732394</v>
      </c>
      <c r="W180">
        <v>2.8301886792452827E-2</v>
      </c>
      <c r="X180">
        <v>8.2202757376980351E-2</v>
      </c>
      <c r="Y180">
        <v>1.1794664292299073</v>
      </c>
      <c r="Z180">
        <v>2.0099999999999998</v>
      </c>
      <c r="AA180">
        <v>28.84</v>
      </c>
      <c r="AB180">
        <f>Tableau1[[#This Row],[u2]]/Tableau1[[#This Row],[u1]]</f>
        <v>0.65740572785509155</v>
      </c>
      <c r="AC180">
        <f>ABS(Tableau1[[#This Row],[u2]]-Tableau1[[#This Row],[u1]])</f>
        <v>12.278528747706883</v>
      </c>
      <c r="AD180">
        <f>(Tableau1[[#This Row],[d1]]+0.002)/Tableau1[[#This Row],[d2]]</f>
        <v>0.4</v>
      </c>
      <c r="AE180">
        <f>Tableau1[[#This Row],[S2]]*Tableau1[[#This Row],[u2]]/(Tableau1[[#This Row],[S1]]*Tableau1[[#This Row],[u1]])*(1-Tableau1[[#This Row],[ALPHA]]^3)/(1-Tableau1[[#This Row],[ALPHA]]^4)</f>
        <v>1.0452382559408286</v>
      </c>
      <c r="AF180" s="1">
        <v>0</v>
      </c>
      <c r="AG180" s="1" t="s">
        <v>53</v>
      </c>
      <c r="AH180" t="s">
        <v>61</v>
      </c>
      <c r="AI180" t="s">
        <v>42</v>
      </c>
      <c r="AJ180" t="s">
        <v>42</v>
      </c>
      <c r="AK180">
        <v>18.5</v>
      </c>
      <c r="AL180">
        <v>20.6</v>
      </c>
      <c r="AM180">
        <v>2.6556239650122442</v>
      </c>
    </row>
    <row r="181" spans="1:39" x14ac:dyDescent="0.25">
      <c r="A181" t="s">
        <v>225</v>
      </c>
      <c r="B181">
        <v>10</v>
      </c>
      <c r="C181">
        <v>6.2499999999999991</v>
      </c>
      <c r="D181">
        <v>0.39</v>
      </c>
      <c r="E181">
        <v>65535</v>
      </c>
      <c r="F181">
        <v>0.28999999999999998</v>
      </c>
      <c r="G181">
        <v>0.55999999999999994</v>
      </c>
      <c r="H181" s="3">
        <f t="shared" si="0"/>
        <v>8.3300000000000005E-5</v>
      </c>
      <c r="I181">
        <v>7.3335534279740282E-3</v>
      </c>
      <c r="J181" s="3">
        <f t="shared" si="1"/>
        <v>8.3300000000000005E-5</v>
      </c>
      <c r="K181">
        <v>4.1735669915299346E-3</v>
      </c>
      <c r="L181">
        <v>6.0000000000000001E-3</v>
      </c>
      <c r="M181">
        <v>0.02</v>
      </c>
      <c r="N181" s="3">
        <f>Tableau1[[#This Row],[mH2]]/Tableau1[[#This Row],[rho1]]/(PI()*Tableau1[[#This Row],[d1]]^2/4)</f>
        <v>35.839854154109695</v>
      </c>
      <c r="O181">
        <f>Tableau1[[#This Row],[m2]]/Tableau1[[#This Row],[rho2]]/(PI()/4*(Tableau1[[#This Row],[d2]]^2-(Tableau1[[#This Row],[d1]]+2*0.001)^2))</f>
        <v>23.561325406402812</v>
      </c>
      <c r="P181">
        <v>4</v>
      </c>
      <c r="Q181" t="s">
        <v>165</v>
      </c>
      <c r="R181" s="3">
        <f>Tableau1[[#This Row],[rho1]]*Tableau1[[#This Row],[u1]]*Tableau1[[#This Row],[d1]]/0.0000089385</f>
        <v>1977.6035143189399</v>
      </c>
      <c r="S181">
        <f>Tableau1[[#This Row],[rho2]]*Tableau1[[#This Row],[u2]]*(Tableau1[[#This Row],[d2]]-(Tableau1[[#This Row],[d1]]+2*0.001))/0.0000184725</f>
        <v>18052.64626553882</v>
      </c>
      <c r="T18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0.55202808988764041</v>
      </c>
      <c r="U181">
        <f>Tableau1[[#This Row],[S2]]/Tableau1[[#This Row],[S1]]*SQRT(Tableau1[[#This Row],[rho1]]/Tableau1[[#This Row],[rho2]])*Tableau1[[#This Row],[J]]^(1/2)*Tableau1[[#This Row],[d2]]/Tableau1[[#This Row],[d1]]</f>
        <v>4.2482413690253438</v>
      </c>
      <c r="V181">
        <v>0.29577464788732394</v>
      </c>
      <c r="W181">
        <v>2.8301886792452827E-2</v>
      </c>
      <c r="X181">
        <v>8.2202757376980351E-2</v>
      </c>
      <c r="Y181">
        <v>1.1794664292299073</v>
      </c>
      <c r="Z181">
        <v>2.0099999999999998</v>
      </c>
      <c r="AA181">
        <v>28.84</v>
      </c>
      <c r="AB181">
        <f>Tableau1[[#This Row],[u2]]/Tableau1[[#This Row],[u1]]</f>
        <v>0.65740572785509155</v>
      </c>
      <c r="AC181">
        <f>ABS(Tableau1[[#This Row],[u2]]-Tableau1[[#This Row],[u1]])</f>
        <v>12.278528747706883</v>
      </c>
      <c r="AD181">
        <f>(Tableau1[[#This Row],[d1]]+0.002)/Tableau1[[#This Row],[d2]]</f>
        <v>0.4</v>
      </c>
      <c r="AE181">
        <f>Tableau1[[#This Row],[S2]]*Tableau1[[#This Row],[u2]]/(Tableau1[[#This Row],[S1]]*Tableau1[[#This Row],[u1]])*(1-Tableau1[[#This Row],[ALPHA]]^3)/(1-Tableau1[[#This Row],[ALPHA]]^4)</f>
        <v>1.2194446319309666</v>
      </c>
      <c r="AF181" s="1">
        <v>1</v>
      </c>
      <c r="AG181" s="1" t="s">
        <v>40</v>
      </c>
      <c r="AH181" t="s">
        <v>41</v>
      </c>
      <c r="AI181" t="s">
        <v>42</v>
      </c>
      <c r="AJ181" t="s">
        <v>42</v>
      </c>
      <c r="AK181">
        <v>17.3</v>
      </c>
      <c r="AL181">
        <v>18.3</v>
      </c>
      <c r="AM181">
        <v>2.3591222601807802</v>
      </c>
    </row>
    <row r="182" spans="1:39" x14ac:dyDescent="0.25">
      <c r="A182" t="s">
        <v>226</v>
      </c>
      <c r="B182">
        <v>10</v>
      </c>
      <c r="C182">
        <v>6.2499999999999991</v>
      </c>
      <c r="D182">
        <v>0.39</v>
      </c>
      <c r="E182">
        <v>65535</v>
      </c>
      <c r="F182">
        <v>0.28999999999999998</v>
      </c>
      <c r="G182">
        <v>0.64000000000000012</v>
      </c>
      <c r="H182" s="3">
        <f t="shared" si="0"/>
        <v>8.3300000000000005E-5</v>
      </c>
      <c r="I182">
        <v>7.3335534279740282E-3</v>
      </c>
      <c r="J182" s="3">
        <f t="shared" si="1"/>
        <v>8.3300000000000005E-5</v>
      </c>
      <c r="K182">
        <v>4.7697908474627834E-3</v>
      </c>
      <c r="L182">
        <v>6.0000000000000001E-3</v>
      </c>
      <c r="M182">
        <v>0.02</v>
      </c>
      <c r="N182" s="3">
        <f>Tableau1[[#This Row],[mH2]]/Tableau1[[#This Row],[rho1]]/(PI()*Tableau1[[#This Row],[d1]]^2/4)</f>
        <v>35.839854154109695</v>
      </c>
      <c r="O182">
        <f>Tableau1[[#This Row],[m2]]/Tableau1[[#This Row],[rho2]]/(PI()/4*(Tableau1[[#This Row],[d2]]^2-(Tableau1[[#This Row],[d1]]+2*0.001)^2))</f>
        <v>23.561325406402812</v>
      </c>
      <c r="P182">
        <v>4</v>
      </c>
      <c r="Q182" t="s">
        <v>165</v>
      </c>
      <c r="R182" s="3">
        <f>Tableau1[[#This Row],[rho1]]*Tableau1[[#This Row],[u1]]*Tableau1[[#This Row],[d1]]/0.0000089385</f>
        <v>1977.6035143189399</v>
      </c>
      <c r="S182">
        <f>Tableau1[[#This Row],[rho2]]*Tableau1[[#This Row],[u2]]*(Tableau1[[#This Row],[d2]]-(Tableau1[[#This Row],[d1]]+2*0.001))/0.0000184725</f>
        <v>18052.64626553882</v>
      </c>
      <c r="T18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0.63067977528089902</v>
      </c>
      <c r="U182">
        <f>Tableau1[[#This Row],[S2]]/Tableau1[[#This Row],[S1]]*SQRT(Tableau1[[#This Row],[rho1]]/Tableau1[[#This Row],[rho2]])*Tableau1[[#This Row],[J]]^(1/2)*Tableau1[[#This Row],[d2]]/Tableau1[[#This Row],[d1]]</f>
        <v>4.8551329931718215</v>
      </c>
      <c r="V182">
        <v>0.29577464788732394</v>
      </c>
      <c r="W182">
        <v>2.8301886792452827E-2</v>
      </c>
      <c r="X182">
        <v>8.2202757376980351E-2</v>
      </c>
      <c r="Y182">
        <v>1.1794664292299073</v>
      </c>
      <c r="Z182">
        <v>2.0099999999999998</v>
      </c>
      <c r="AA182">
        <v>28.84</v>
      </c>
      <c r="AB182">
        <f>Tableau1[[#This Row],[u2]]/Tableau1[[#This Row],[u1]]</f>
        <v>0.65740572785509155</v>
      </c>
      <c r="AC182">
        <f>ABS(Tableau1[[#This Row],[u2]]-Tableau1[[#This Row],[u1]])</f>
        <v>12.278528747706883</v>
      </c>
      <c r="AD182">
        <f>(Tableau1[[#This Row],[d1]]+0.002)/Tableau1[[#This Row],[d2]]</f>
        <v>0.4</v>
      </c>
      <c r="AE182">
        <f>Tableau1[[#This Row],[S2]]*Tableau1[[#This Row],[u2]]/(Tableau1[[#This Row],[S1]]*Tableau1[[#This Row],[u1]])*(1-Tableau1[[#This Row],[ALPHA]]^3)/(1-Tableau1[[#This Row],[ALPHA]]^4)</f>
        <v>1.3936510079211051</v>
      </c>
      <c r="AF182" s="1">
        <v>1</v>
      </c>
      <c r="AG182" s="1" t="s">
        <v>40</v>
      </c>
      <c r="AH182" t="s">
        <v>47</v>
      </c>
      <c r="AI182" t="s">
        <v>42</v>
      </c>
      <c r="AJ182" t="s">
        <v>42</v>
      </c>
      <c r="AK182">
        <v>7.8</v>
      </c>
      <c r="AL182">
        <v>8.3000000000000007</v>
      </c>
      <c r="AM182">
        <v>1.0699844130874576</v>
      </c>
    </row>
    <row r="183" spans="1:39" x14ac:dyDescent="0.25">
      <c r="A183" t="s">
        <v>227</v>
      </c>
      <c r="B183">
        <v>10</v>
      </c>
      <c r="C183">
        <v>4</v>
      </c>
      <c r="D183">
        <v>0.49</v>
      </c>
      <c r="E183">
        <v>65535</v>
      </c>
      <c r="F183">
        <v>0.28999999999999998</v>
      </c>
      <c r="G183">
        <v>0.48</v>
      </c>
      <c r="H183" s="3">
        <f t="shared" si="0"/>
        <v>8.3300000000000005E-5</v>
      </c>
      <c r="I183">
        <v>5.836909871244635E-3</v>
      </c>
      <c r="J183" s="3">
        <f t="shared" si="1"/>
        <v>8.3300000000000005E-5</v>
      </c>
      <c r="K183">
        <v>2.8472731079242121E-3</v>
      </c>
      <c r="L183">
        <v>6.0000000000000001E-3</v>
      </c>
      <c r="M183">
        <v>0.02</v>
      </c>
      <c r="N183" s="3">
        <f>Tableau1[[#This Row],[mH2]]/Tableau1[[#This Row],[rho1]]/(PI()*Tableau1[[#This Row],[d1]]^2/4)</f>
        <v>35.839854154109695</v>
      </c>
      <c r="O183">
        <f>Tableau1[[#This Row],[m2]]/Tableau1[[#This Row],[rho2]]/(PI()/4*(Tableau1[[#This Row],[d2]]^2-(Tableau1[[#This Row],[d1]]+2*0.001)^2))</f>
        <v>18.752891649994076</v>
      </c>
      <c r="P183">
        <v>4</v>
      </c>
      <c r="Q183" t="s">
        <v>165</v>
      </c>
      <c r="R183" s="3">
        <f>Tableau1[[#This Row],[rho1]]*Tableau1[[#This Row],[u1]]*Tableau1[[#This Row],[d1]]/0.0000089385</f>
        <v>1977.6035143189399</v>
      </c>
      <c r="S183">
        <f>Tableau1[[#This Row],[rho2]]*Tableau1[[#This Row],[u2]]*(Tableau1[[#This Row],[d2]]-(Tableau1[[#This Row],[d1]]+2*0.001))/0.0000184725</f>
        <v>14368.432741959468</v>
      </c>
      <c r="T18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0.46974782608695653</v>
      </c>
      <c r="U183">
        <f>Tableau1[[#This Row],[S2]]/Tableau1[[#This Row],[S1]]*SQRT(Tableau1[[#This Row],[rho1]]/Tableau1[[#This Row],[rho2]])*Tableau1[[#This Row],[J]]^(1/2)*Tableau1[[#This Row],[d2]]/Tableau1[[#This Row],[d1]]</f>
        <v>2.9130797959030925</v>
      </c>
      <c r="V183">
        <v>0.29577464788732394</v>
      </c>
      <c r="W183">
        <v>2.8301886792452827E-2</v>
      </c>
      <c r="X183">
        <v>8.2202757376980351E-2</v>
      </c>
      <c r="Y183">
        <v>1.1794664292299073</v>
      </c>
      <c r="Z183">
        <v>2.0099999999999998</v>
      </c>
      <c r="AA183">
        <v>28.84</v>
      </c>
      <c r="AB183">
        <f>Tableau1[[#This Row],[u2]]/Tableau1[[#This Row],[u1]]</f>
        <v>0.52324129359895044</v>
      </c>
      <c r="AC183">
        <f>ABS(Tableau1[[#This Row],[u2]]-Tableau1[[#This Row],[u1]])</f>
        <v>17.086962504115618</v>
      </c>
      <c r="AD183">
        <f>(Tableau1[[#This Row],[d1]]+0.002)/Tableau1[[#This Row],[d2]]</f>
        <v>0.4</v>
      </c>
      <c r="AE183">
        <f>Tableau1[[#This Row],[S2]]*Tableau1[[#This Row],[u2]]/(Tableau1[[#This Row],[S1]]*Tableau1[[#This Row],[u1]])*(1-Tableau1[[#This Row],[ALPHA]]^3)/(1-Tableau1[[#This Row],[ALPHA]]^4)</f>
        <v>0.83192432615698597</v>
      </c>
      <c r="AF183" s="1">
        <v>0</v>
      </c>
      <c r="AG183" s="1" t="s">
        <v>53</v>
      </c>
      <c r="AH183" t="s">
        <v>61</v>
      </c>
      <c r="AI183" t="s">
        <v>42</v>
      </c>
      <c r="AJ183" t="s">
        <v>42</v>
      </c>
      <c r="AK183" t="s">
        <v>44</v>
      </c>
      <c r="AL183">
        <v>25.5</v>
      </c>
      <c r="AM183">
        <v>2.5565481335483096</v>
      </c>
    </row>
    <row r="184" spans="1:39" x14ac:dyDescent="0.25">
      <c r="A184" t="s">
        <v>228</v>
      </c>
      <c r="B184">
        <v>10</v>
      </c>
      <c r="C184">
        <v>4</v>
      </c>
      <c r="D184">
        <v>0.49</v>
      </c>
      <c r="E184">
        <v>65535</v>
      </c>
      <c r="F184">
        <v>0.28999999999999998</v>
      </c>
      <c r="G184">
        <v>0.55999999999999994</v>
      </c>
      <c r="H184" s="3">
        <f t="shared" si="0"/>
        <v>8.3300000000000005E-5</v>
      </c>
      <c r="I184">
        <v>5.836909871244635E-3</v>
      </c>
      <c r="J184" s="3">
        <f t="shared" si="1"/>
        <v>8.3300000000000005E-5</v>
      </c>
      <c r="K184">
        <v>3.3218186259115806E-3</v>
      </c>
      <c r="L184">
        <v>6.0000000000000001E-3</v>
      </c>
      <c r="M184">
        <v>0.02</v>
      </c>
      <c r="N184" s="3">
        <f>Tableau1[[#This Row],[mH2]]/Tableau1[[#This Row],[rho1]]/(PI()*Tableau1[[#This Row],[d1]]^2/4)</f>
        <v>35.839854154109695</v>
      </c>
      <c r="O184">
        <f>Tableau1[[#This Row],[m2]]/Tableau1[[#This Row],[rho2]]/(PI()/4*(Tableau1[[#This Row],[d2]]^2-(Tableau1[[#This Row],[d1]]+2*0.001)^2))</f>
        <v>18.752891649994076</v>
      </c>
      <c r="P184">
        <v>4</v>
      </c>
      <c r="Q184" t="s">
        <v>165</v>
      </c>
      <c r="R184" s="3">
        <f>Tableau1[[#This Row],[rho1]]*Tableau1[[#This Row],[u1]]*Tableau1[[#This Row],[d1]]/0.0000089385</f>
        <v>1977.6035143189399</v>
      </c>
      <c r="S184">
        <f>Tableau1[[#This Row],[rho2]]*Tableau1[[#This Row],[u2]]*(Tableau1[[#This Row],[d2]]-(Tableau1[[#This Row],[d1]]+2*0.001))/0.0000184725</f>
        <v>14368.432741959468</v>
      </c>
      <c r="T18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0.54766086956521731</v>
      </c>
      <c r="U184">
        <f>Tableau1[[#This Row],[S2]]/Tableau1[[#This Row],[S1]]*SQRT(Tableau1[[#This Row],[rho1]]/Tableau1[[#This Row],[rho2]])*Tableau1[[#This Row],[J]]^(1/2)*Tableau1[[#This Row],[d2]]/Tableau1[[#This Row],[d1]]</f>
        <v>3.3985930952202752</v>
      </c>
      <c r="V184">
        <v>0.29577464788732394</v>
      </c>
      <c r="W184">
        <v>2.8301886792452827E-2</v>
      </c>
      <c r="X184">
        <v>8.2202757376980351E-2</v>
      </c>
      <c r="Y184">
        <v>1.1794664292299073</v>
      </c>
      <c r="Z184">
        <v>2.0099999999999998</v>
      </c>
      <c r="AA184">
        <v>28.84</v>
      </c>
      <c r="AB184">
        <f>Tableau1[[#This Row],[u2]]/Tableau1[[#This Row],[u1]]</f>
        <v>0.52324129359895044</v>
      </c>
      <c r="AC184">
        <f>ABS(Tableau1[[#This Row],[u2]]-Tableau1[[#This Row],[u1]])</f>
        <v>17.086962504115618</v>
      </c>
      <c r="AD184">
        <f>(Tableau1[[#This Row],[d1]]+0.002)/Tableau1[[#This Row],[d2]]</f>
        <v>0.4</v>
      </c>
      <c r="AE184">
        <f>Tableau1[[#This Row],[S2]]*Tableau1[[#This Row],[u2]]/(Tableau1[[#This Row],[S1]]*Tableau1[[#This Row],[u1]])*(1-Tableau1[[#This Row],[ALPHA]]^3)/(1-Tableau1[[#This Row],[ALPHA]]^4)</f>
        <v>0.97057838051648382</v>
      </c>
      <c r="AF184" s="1">
        <v>1</v>
      </c>
      <c r="AG184" s="1" t="s">
        <v>40</v>
      </c>
      <c r="AH184" t="s">
        <v>41</v>
      </c>
      <c r="AI184" t="s">
        <v>42</v>
      </c>
      <c r="AJ184" t="s">
        <v>42</v>
      </c>
      <c r="AK184">
        <v>17.3</v>
      </c>
      <c r="AL184">
        <v>18.3</v>
      </c>
      <c r="AM184">
        <v>1.8346992487817282</v>
      </c>
    </row>
    <row r="185" spans="1:39" x14ac:dyDescent="0.25">
      <c r="A185" t="s">
        <v>202</v>
      </c>
      <c r="B185">
        <v>10</v>
      </c>
      <c r="C185">
        <v>11.111111111111111</v>
      </c>
      <c r="D185">
        <v>0.28999999999999998</v>
      </c>
      <c r="E185">
        <v>65535</v>
      </c>
      <c r="F185">
        <v>0</v>
      </c>
      <c r="G185">
        <v>0.48</v>
      </c>
      <c r="H185" s="3">
        <f t="shared" si="0"/>
        <v>8.3300000000000005E-5</v>
      </c>
      <c r="I185">
        <v>9.862364954861624E-3</v>
      </c>
      <c r="J185" s="3">
        <f t="shared" si="1"/>
        <v>8.3300000000000005E-5</v>
      </c>
      <c r="K185">
        <v>4.8109097340788406E-3</v>
      </c>
      <c r="L185">
        <v>6.0000000000000001E-3</v>
      </c>
      <c r="M185">
        <v>0.02</v>
      </c>
      <c r="N185" s="3">
        <f>Tableau1[[#This Row],[mH2]]/Tableau1[[#This Row],[rho1]]/(PI()*Tableau1[[#This Row],[d1]]^2/4)</f>
        <v>35.839854154109695</v>
      </c>
      <c r="O185">
        <f>Tableau1[[#This Row],[m2]]/Tableau1[[#This Row],[rho2]]/(PI()/4*(Tableau1[[#This Row],[d2]]^2-(Tableau1[[#This Row],[d1]]+2*0.001)^2))</f>
        <v>31.685920374127917</v>
      </c>
      <c r="P185">
        <v>4</v>
      </c>
      <c r="Q185" t="s">
        <v>165</v>
      </c>
      <c r="R185" s="3">
        <f>Tableau1[[#This Row],[rho1]]*Tableau1[[#This Row],[u1]]*Tableau1[[#This Row],[d1]]/0.0000089385</f>
        <v>1977.6035143189399</v>
      </c>
      <c r="S185">
        <f>Tableau1[[#This Row],[rho2]]*Tableau1[[#This Row],[u2]]*(Tableau1[[#This Row],[d2]]-(Tableau1[[#This Row],[d1]]+2*0.001))/0.0000184725</f>
        <v>24277.696701931513</v>
      </c>
      <c r="T18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0.47541563494870887</v>
      </c>
      <c r="U185" t="e">
        <f>Tableau1[[#This Row],[S2]]/Tableau1[[#This Row],[S1]]*SQRT(Tableau1[[#This Row],[rho1]]/Tableau1[[#This Row],[rho2]])*Tableau1[[#This Row],[J]]^(1/2)*Tableau1[[#This Row],[d2]]/Tableau1[[#This Row],[d1]]</f>
        <v>#DIV/0!</v>
      </c>
      <c r="V185">
        <v>0.29577464788732394</v>
      </c>
      <c r="W185">
        <v>2.8301886792452827E-2</v>
      </c>
      <c r="X185">
        <v>8.2202757376980351E-2</v>
      </c>
      <c r="Y185">
        <v>1.1794664292299073</v>
      </c>
      <c r="Z185">
        <v>2.0099999999999998</v>
      </c>
      <c r="AA185">
        <v>28.84</v>
      </c>
      <c r="AB185">
        <f>Tableau1[[#This Row],[u2]]/Tableau1[[#This Row],[u1]]</f>
        <v>0.88409735814995072</v>
      </c>
      <c r="AC185">
        <f>ABS(Tableau1[[#This Row],[u2]]-Tableau1[[#This Row],[u1]])</f>
        <v>4.1539337799817773</v>
      </c>
      <c r="AD185">
        <f>(Tableau1[[#This Row],[d1]]+0.002)/Tableau1[[#This Row],[d2]]</f>
        <v>0.4</v>
      </c>
      <c r="AE185" t="e">
        <f>Tableau1[[#This Row],[S2]]*Tableau1[[#This Row],[u2]]/(Tableau1[[#This Row],[S1]]*Tableau1[[#This Row],[u1]])*(1-Tableau1[[#This Row],[ALPHA]]^3)/(1-Tableau1[[#This Row],[ALPHA]]^4)</f>
        <v>#DIV/0!</v>
      </c>
      <c r="AF185" s="1">
        <v>0</v>
      </c>
      <c r="AG185" s="1" t="s">
        <v>53</v>
      </c>
      <c r="AH185" t="s">
        <v>61</v>
      </c>
      <c r="AI185" t="s">
        <v>42</v>
      </c>
      <c r="AJ185" t="s">
        <v>42</v>
      </c>
      <c r="AK185">
        <v>2.7</v>
      </c>
      <c r="AL185">
        <v>9.9</v>
      </c>
      <c r="AM185">
        <v>1.7556089338987206</v>
      </c>
    </row>
    <row r="186" spans="1:39" x14ac:dyDescent="0.25">
      <c r="A186" t="s">
        <v>229</v>
      </c>
      <c r="B186">
        <v>10</v>
      </c>
      <c r="C186">
        <v>4</v>
      </c>
      <c r="D186">
        <v>0.49</v>
      </c>
      <c r="E186">
        <v>65535</v>
      </c>
      <c r="F186">
        <v>0.28999999999999998</v>
      </c>
      <c r="G186">
        <v>0.64000000000000012</v>
      </c>
      <c r="H186" s="3">
        <f t="shared" si="0"/>
        <v>8.3300000000000005E-5</v>
      </c>
      <c r="I186">
        <v>5.836909871244635E-3</v>
      </c>
      <c r="J186" s="3">
        <f t="shared" si="1"/>
        <v>8.3300000000000005E-5</v>
      </c>
      <c r="K186">
        <v>3.79636414389895E-3</v>
      </c>
      <c r="L186">
        <v>6.0000000000000001E-3</v>
      </c>
      <c r="M186">
        <v>0.02</v>
      </c>
      <c r="N186" s="3">
        <f>Tableau1[[#This Row],[mH2]]/Tableau1[[#This Row],[rho1]]/(PI()*Tableau1[[#This Row],[d1]]^2/4)</f>
        <v>35.839854154109695</v>
      </c>
      <c r="O186">
        <f>Tableau1[[#This Row],[m2]]/Tableau1[[#This Row],[rho2]]/(PI()/4*(Tableau1[[#This Row],[d2]]^2-(Tableau1[[#This Row],[d1]]+2*0.001)^2))</f>
        <v>18.752891649994076</v>
      </c>
      <c r="P186">
        <v>4</v>
      </c>
      <c r="Q186" t="s">
        <v>165</v>
      </c>
      <c r="R186" s="3">
        <f>Tableau1[[#This Row],[rho1]]*Tableau1[[#This Row],[u1]]*Tableau1[[#This Row],[d1]]/0.0000089385</f>
        <v>1977.6035143189399</v>
      </c>
      <c r="S186">
        <f>Tableau1[[#This Row],[rho2]]*Tableau1[[#This Row],[u2]]*(Tableau1[[#This Row],[d2]]-(Tableau1[[#This Row],[d1]]+2*0.001))/0.0000184725</f>
        <v>14368.432741959468</v>
      </c>
      <c r="T18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0.62557391304347842</v>
      </c>
      <c r="U186">
        <f>Tableau1[[#This Row],[S2]]/Tableau1[[#This Row],[S1]]*SQRT(Tableau1[[#This Row],[rho1]]/Tableau1[[#This Row],[rho2]])*Tableau1[[#This Row],[J]]^(1/2)*Tableau1[[#This Row],[d2]]/Tableau1[[#This Row],[d1]]</f>
        <v>3.884106394537457</v>
      </c>
      <c r="V186">
        <v>0.29577464788732394</v>
      </c>
      <c r="W186">
        <v>2.8301886792452827E-2</v>
      </c>
      <c r="X186">
        <v>8.2202757376980351E-2</v>
      </c>
      <c r="Y186">
        <v>1.1794664292299073</v>
      </c>
      <c r="Z186">
        <v>2.0099999999999998</v>
      </c>
      <c r="AA186">
        <v>28.84</v>
      </c>
      <c r="AB186">
        <f>Tableau1[[#This Row],[u2]]/Tableau1[[#This Row],[u1]]</f>
        <v>0.52324129359895044</v>
      </c>
      <c r="AC186">
        <f>ABS(Tableau1[[#This Row],[u2]]-Tableau1[[#This Row],[u1]])</f>
        <v>17.086962504115618</v>
      </c>
      <c r="AD186">
        <f>(Tableau1[[#This Row],[d1]]+0.002)/Tableau1[[#This Row],[d2]]</f>
        <v>0.4</v>
      </c>
      <c r="AE186">
        <f>Tableau1[[#This Row],[S2]]*Tableau1[[#This Row],[u2]]/(Tableau1[[#This Row],[S1]]*Tableau1[[#This Row],[u1]])*(1-Tableau1[[#This Row],[ALPHA]]^3)/(1-Tableau1[[#This Row],[ALPHA]]^4)</f>
        <v>1.1092324348759819</v>
      </c>
      <c r="AF186" s="1">
        <v>1</v>
      </c>
      <c r="AG186" s="1" t="s">
        <v>40</v>
      </c>
      <c r="AH186" t="s">
        <v>41</v>
      </c>
      <c r="AI186" t="s">
        <v>42</v>
      </c>
      <c r="AJ186" t="s">
        <v>42</v>
      </c>
      <c r="AK186">
        <v>11.9</v>
      </c>
      <c r="AL186">
        <v>12.7</v>
      </c>
      <c r="AM186">
        <v>1.2732612272966088</v>
      </c>
    </row>
    <row r="187" spans="1:39" x14ac:dyDescent="0.25">
      <c r="A187" t="s">
        <v>230</v>
      </c>
      <c r="B187">
        <v>10</v>
      </c>
      <c r="C187">
        <v>2.7777777777777777</v>
      </c>
      <c r="D187">
        <v>0.57999999999999996</v>
      </c>
      <c r="E187">
        <v>65535</v>
      </c>
      <c r="F187">
        <v>0.28999999999999998</v>
      </c>
      <c r="G187">
        <v>0.48</v>
      </c>
      <c r="H187" s="3">
        <f t="shared" si="0"/>
        <v>8.3300000000000005E-5</v>
      </c>
      <c r="I187">
        <v>4.931182477430812E-3</v>
      </c>
      <c r="J187" s="3">
        <f t="shared" si="1"/>
        <v>8.3300000000000005E-5</v>
      </c>
      <c r="K187">
        <v>2.4054548670394203E-3</v>
      </c>
      <c r="L187">
        <v>6.0000000000000001E-3</v>
      </c>
      <c r="M187">
        <v>0.02</v>
      </c>
      <c r="N187" s="3">
        <f>Tableau1[[#This Row],[mH2]]/Tableau1[[#This Row],[rho1]]/(PI()*Tableau1[[#This Row],[d1]]^2/4)</f>
        <v>35.839854154109695</v>
      </c>
      <c r="O187">
        <f>Tableau1[[#This Row],[m2]]/Tableau1[[#This Row],[rho2]]/(PI()/4*(Tableau1[[#This Row],[d2]]^2-(Tableau1[[#This Row],[d1]]+2*0.001)^2))</f>
        <v>15.842960187063959</v>
      </c>
      <c r="P187">
        <v>4</v>
      </c>
      <c r="Q187" t="s">
        <v>165</v>
      </c>
      <c r="R187" s="3">
        <f>Tableau1[[#This Row],[rho1]]*Tableau1[[#This Row],[u1]]*Tableau1[[#This Row],[d1]]/0.0000089385</f>
        <v>1977.6035143189399</v>
      </c>
      <c r="S187">
        <f>Tableau1[[#This Row],[rho2]]*Tableau1[[#This Row],[u2]]*(Tableau1[[#This Row],[d2]]-(Tableau1[[#This Row],[d1]]+2*0.001))/0.0000184725</f>
        <v>12138.848350965756</v>
      </c>
      <c r="T18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0.46540440165061897</v>
      </c>
      <c r="U187">
        <f>Tableau1[[#This Row],[S2]]/Tableau1[[#This Row],[S1]]*SQRT(Tableau1[[#This Row],[rho1]]/Tableau1[[#This Row],[rho2]])*Tableau1[[#This Row],[J]]^(1/2)*Tableau1[[#This Row],[d2]]/Tableau1[[#This Row],[d1]]</f>
        <v>2.4275664965859103</v>
      </c>
      <c r="V187">
        <v>0.29577464788732394</v>
      </c>
      <c r="W187">
        <v>2.8301886792452827E-2</v>
      </c>
      <c r="X187">
        <v>8.2202757376980351E-2</v>
      </c>
      <c r="Y187">
        <v>1.1794664292299073</v>
      </c>
      <c r="Z187">
        <v>2.0099999999999998</v>
      </c>
      <c r="AA187">
        <v>28.84</v>
      </c>
      <c r="AB187">
        <f>Tableau1[[#This Row],[u2]]/Tableau1[[#This Row],[u1]]</f>
        <v>0.44204867907497536</v>
      </c>
      <c r="AC187">
        <f>ABS(Tableau1[[#This Row],[u2]]-Tableau1[[#This Row],[u1]])</f>
        <v>19.996893967045736</v>
      </c>
      <c r="AD187">
        <f>(Tableau1[[#This Row],[d1]]+0.002)/Tableau1[[#This Row],[d2]]</f>
        <v>0.4</v>
      </c>
      <c r="AE187">
        <f>Tableau1[[#This Row],[S2]]*Tableau1[[#This Row],[u2]]/(Tableau1[[#This Row],[S1]]*Tableau1[[#This Row],[u1]])*(1-Tableau1[[#This Row],[ALPHA]]^3)/(1-Tableau1[[#This Row],[ALPHA]]^4)</f>
        <v>0.7028326203740054</v>
      </c>
      <c r="AF187" s="1">
        <v>0</v>
      </c>
      <c r="AG187" s="1" t="s">
        <v>53</v>
      </c>
      <c r="AH187" t="s">
        <v>61</v>
      </c>
      <c r="AI187" t="s">
        <v>42</v>
      </c>
      <c r="AJ187" t="s">
        <v>42</v>
      </c>
      <c r="AK187" t="s">
        <v>44</v>
      </c>
      <c r="AL187">
        <v>39.6</v>
      </c>
      <c r="AM187">
        <v>3.2834091018165181</v>
      </c>
    </row>
    <row r="188" spans="1:39" x14ac:dyDescent="0.25">
      <c r="A188" t="s">
        <v>231</v>
      </c>
      <c r="B188">
        <v>10</v>
      </c>
      <c r="C188">
        <v>2.7777777777777777</v>
      </c>
      <c r="D188">
        <v>0.57999999999999996</v>
      </c>
      <c r="E188">
        <v>65535</v>
      </c>
      <c r="F188">
        <v>0.28999999999999998</v>
      </c>
      <c r="G188">
        <v>0.55999999999999994</v>
      </c>
      <c r="H188" s="3">
        <f t="shared" si="0"/>
        <v>8.3300000000000005E-5</v>
      </c>
      <c r="I188">
        <v>4.931182477430812E-3</v>
      </c>
      <c r="J188" s="3">
        <f t="shared" si="1"/>
        <v>8.3300000000000005E-5</v>
      </c>
      <c r="K188">
        <v>2.8063640115459907E-3</v>
      </c>
      <c r="L188">
        <v>6.0000000000000001E-3</v>
      </c>
      <c r="M188">
        <v>0.02</v>
      </c>
      <c r="N188" s="3">
        <f>Tableau1[[#This Row],[mH2]]/Tableau1[[#This Row],[rho1]]/(PI()*Tableau1[[#This Row],[d1]]^2/4)</f>
        <v>35.839854154109695</v>
      </c>
      <c r="O188">
        <f>Tableau1[[#This Row],[m2]]/Tableau1[[#This Row],[rho2]]/(PI()/4*(Tableau1[[#This Row],[d2]]^2-(Tableau1[[#This Row],[d1]]+2*0.001)^2))</f>
        <v>15.842960187063959</v>
      </c>
      <c r="P188">
        <v>4</v>
      </c>
      <c r="Q188" t="s">
        <v>165</v>
      </c>
      <c r="R188" s="3">
        <f>Tableau1[[#This Row],[rho1]]*Tableau1[[#This Row],[u1]]*Tableau1[[#This Row],[d1]]/0.0000089385</f>
        <v>1977.6035143189399</v>
      </c>
      <c r="S188">
        <f>Tableau1[[#This Row],[rho2]]*Tableau1[[#This Row],[u2]]*(Tableau1[[#This Row],[d2]]-(Tableau1[[#This Row],[d1]]+2*0.001))/0.0000184725</f>
        <v>12138.848350965756</v>
      </c>
      <c r="T18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0.54243328748280606</v>
      </c>
      <c r="U188">
        <f>Tableau1[[#This Row],[S2]]/Tableau1[[#This Row],[S1]]*SQRT(Tableau1[[#This Row],[rho1]]/Tableau1[[#This Row],[rho2]])*Tableau1[[#This Row],[J]]^(1/2)*Tableau1[[#This Row],[d2]]/Tableau1[[#This Row],[d1]]</f>
        <v>2.8321609126835625</v>
      </c>
      <c r="V188">
        <v>0.29577464788732394</v>
      </c>
      <c r="W188">
        <v>2.8301886792452827E-2</v>
      </c>
      <c r="X188">
        <v>8.2202757376980351E-2</v>
      </c>
      <c r="Y188">
        <v>1.1794664292299073</v>
      </c>
      <c r="Z188">
        <v>2.0099999999999998</v>
      </c>
      <c r="AA188">
        <v>28.84</v>
      </c>
      <c r="AB188">
        <f>Tableau1[[#This Row],[u2]]/Tableau1[[#This Row],[u1]]</f>
        <v>0.44204867907497536</v>
      </c>
      <c r="AC188">
        <f>ABS(Tableau1[[#This Row],[u2]]-Tableau1[[#This Row],[u1]])</f>
        <v>19.996893967045736</v>
      </c>
      <c r="AD188">
        <f>(Tableau1[[#This Row],[d1]]+0.002)/Tableau1[[#This Row],[d2]]</f>
        <v>0.4</v>
      </c>
      <c r="AE188">
        <f>Tableau1[[#This Row],[S2]]*Tableau1[[#This Row],[u2]]/(Tableau1[[#This Row],[S1]]*Tableau1[[#This Row],[u1]])*(1-Tableau1[[#This Row],[ALPHA]]^3)/(1-Tableau1[[#This Row],[ALPHA]]^4)</f>
        <v>0.8199713904363396</v>
      </c>
      <c r="AF188" s="1">
        <v>1</v>
      </c>
      <c r="AG188" s="1" t="s">
        <v>40</v>
      </c>
      <c r="AH188" t="s">
        <v>41</v>
      </c>
      <c r="AI188" t="s">
        <v>42</v>
      </c>
      <c r="AJ188" t="s">
        <v>42</v>
      </c>
      <c r="AK188">
        <v>21.5</v>
      </c>
      <c r="AL188">
        <v>22.2</v>
      </c>
      <c r="AM188">
        <v>1.8406990419274416</v>
      </c>
    </row>
    <row r="189" spans="1:39" x14ac:dyDescent="0.25">
      <c r="A189" t="s">
        <v>232</v>
      </c>
      <c r="B189">
        <v>10</v>
      </c>
      <c r="C189">
        <v>2.7777777777777777</v>
      </c>
      <c r="D189">
        <v>0.57999999999999996</v>
      </c>
      <c r="E189">
        <v>65535</v>
      </c>
      <c r="F189">
        <v>0.28999999999999998</v>
      </c>
      <c r="G189">
        <v>0.64000000000000012</v>
      </c>
      <c r="H189" s="3">
        <f t="shared" si="0"/>
        <v>8.3300000000000005E-5</v>
      </c>
      <c r="I189">
        <v>4.931182477430812E-3</v>
      </c>
      <c r="J189" s="3">
        <f t="shared" si="1"/>
        <v>8.3300000000000005E-5</v>
      </c>
      <c r="K189">
        <v>3.2072731560525607E-3</v>
      </c>
      <c r="L189">
        <v>6.0000000000000001E-3</v>
      </c>
      <c r="M189">
        <v>0.02</v>
      </c>
      <c r="N189" s="3">
        <f>Tableau1[[#This Row],[mH2]]/Tableau1[[#This Row],[rho1]]/(PI()*Tableau1[[#This Row],[d1]]^2/4)</f>
        <v>35.839854154109695</v>
      </c>
      <c r="O189">
        <f>Tableau1[[#This Row],[m2]]/Tableau1[[#This Row],[rho2]]/(PI()/4*(Tableau1[[#This Row],[d2]]^2-(Tableau1[[#This Row],[d1]]+2*0.001)^2))</f>
        <v>15.842960187063959</v>
      </c>
      <c r="P189">
        <v>4</v>
      </c>
      <c r="Q189" t="s">
        <v>165</v>
      </c>
      <c r="R189" s="3">
        <f>Tableau1[[#This Row],[rho1]]*Tableau1[[#This Row],[u1]]*Tableau1[[#This Row],[d1]]/0.0000089385</f>
        <v>1977.6035143189399</v>
      </c>
      <c r="S189">
        <f>Tableau1[[#This Row],[rho2]]*Tableau1[[#This Row],[u2]]*(Tableau1[[#This Row],[d2]]-(Tableau1[[#This Row],[d1]]+2*0.001))/0.0000184725</f>
        <v>12138.848350965756</v>
      </c>
      <c r="T18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0.61946217331499331</v>
      </c>
      <c r="U189">
        <f>Tableau1[[#This Row],[S2]]/Tableau1[[#This Row],[S1]]*SQRT(Tableau1[[#This Row],[rho1]]/Tableau1[[#This Row],[rho2]])*Tableau1[[#This Row],[J]]^(1/2)*Tableau1[[#This Row],[d2]]/Tableau1[[#This Row],[d1]]</f>
        <v>3.2367553287812143</v>
      </c>
      <c r="V189">
        <v>0.29577464788732394</v>
      </c>
      <c r="W189">
        <v>2.8301886792452827E-2</v>
      </c>
      <c r="X189">
        <v>8.2202757376980351E-2</v>
      </c>
      <c r="Y189">
        <v>1.1794664292299073</v>
      </c>
      <c r="Z189">
        <v>2.0099999999999998</v>
      </c>
      <c r="AA189">
        <v>28.84</v>
      </c>
      <c r="AB189">
        <f>Tableau1[[#This Row],[u2]]/Tableau1[[#This Row],[u1]]</f>
        <v>0.44204867907497536</v>
      </c>
      <c r="AC189">
        <f>ABS(Tableau1[[#This Row],[u2]]-Tableau1[[#This Row],[u1]])</f>
        <v>19.996893967045736</v>
      </c>
      <c r="AD189">
        <f>(Tableau1[[#This Row],[d1]]+0.002)/Tableau1[[#This Row],[d2]]</f>
        <v>0.4</v>
      </c>
      <c r="AE189">
        <f>Tableau1[[#This Row],[S2]]*Tableau1[[#This Row],[u2]]/(Tableau1[[#This Row],[S1]]*Tableau1[[#This Row],[u1]])*(1-Tableau1[[#This Row],[ALPHA]]^3)/(1-Tableau1[[#This Row],[ALPHA]]^4)</f>
        <v>0.93711016049867413</v>
      </c>
      <c r="AF189" s="1">
        <v>1</v>
      </c>
      <c r="AG189" s="1" t="s">
        <v>40</v>
      </c>
      <c r="AH189" t="s">
        <v>41</v>
      </c>
      <c r="AI189" t="s">
        <v>42</v>
      </c>
      <c r="AJ189" t="s">
        <v>42</v>
      </c>
      <c r="AK189">
        <v>16.7</v>
      </c>
      <c r="AL189">
        <v>17.2</v>
      </c>
      <c r="AM189">
        <v>1.4261271856374775</v>
      </c>
    </row>
    <row r="190" spans="1:39" x14ac:dyDescent="0.25">
      <c r="A190" t="s">
        <v>233</v>
      </c>
      <c r="B190">
        <v>10</v>
      </c>
      <c r="C190">
        <v>2.0408163265306127</v>
      </c>
      <c r="D190">
        <v>0.67</v>
      </c>
      <c r="E190">
        <v>65535</v>
      </c>
      <c r="F190">
        <v>0.28999999999999998</v>
      </c>
      <c r="G190">
        <v>0.48</v>
      </c>
      <c r="H190" s="3">
        <f t="shared" si="0"/>
        <v>8.3300000000000005E-5</v>
      </c>
      <c r="I190">
        <v>4.2687848312087627E-3</v>
      </c>
      <c r="J190" s="3">
        <f t="shared" si="1"/>
        <v>8.3300000000000005E-5</v>
      </c>
      <c r="K190">
        <v>2.082334064004274E-3</v>
      </c>
      <c r="L190">
        <v>6.0000000000000001E-3</v>
      </c>
      <c r="M190">
        <v>0.02</v>
      </c>
      <c r="N190" s="3">
        <f>Tableau1[[#This Row],[mH2]]/Tableau1[[#This Row],[rho1]]/(PI()*Tableau1[[#This Row],[d1]]^2/4)</f>
        <v>35.839854154109695</v>
      </c>
      <c r="O190">
        <f>Tableau1[[#This Row],[m2]]/Tableau1[[#This Row],[rho2]]/(PI()/4*(Tableau1[[#This Row],[d2]]^2-(Tableau1[[#This Row],[d1]]+2*0.001)^2))</f>
        <v>13.714801355965815</v>
      </c>
      <c r="P190">
        <v>4</v>
      </c>
      <c r="Q190" t="s">
        <v>165</v>
      </c>
      <c r="R190" s="3">
        <f>Tableau1[[#This Row],[rho1]]*Tableau1[[#This Row],[u1]]*Tableau1[[#This Row],[d1]]/0.0000089385</f>
        <v>1977.6035143189399</v>
      </c>
      <c r="S190">
        <f>Tableau1[[#This Row],[rho2]]*Tableau1[[#This Row],[u2]]*(Tableau1[[#This Row],[d2]]-(Tableau1[[#This Row],[d1]]+2*0.001))/0.0000184725</f>
        <v>10508.256781433043</v>
      </c>
      <c r="T19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0.46039667458432304</v>
      </c>
      <c r="U190">
        <f>Tableau1[[#This Row],[S2]]/Tableau1[[#This Row],[S1]]*SQRT(Tableau1[[#This Row],[rho1]]/Tableau1[[#This Row],[rho2]])*Tableau1[[#This Row],[J]]^(1/2)*Tableau1[[#This Row],[d2]]/Tableau1[[#This Row],[d1]]</f>
        <v>2.0807712827879237</v>
      </c>
      <c r="V190">
        <v>0.29577464788732394</v>
      </c>
      <c r="W190">
        <v>2.8301886792452827E-2</v>
      </c>
      <c r="X190">
        <v>8.2202757376980351E-2</v>
      </c>
      <c r="Y190">
        <v>1.1794664292299073</v>
      </c>
      <c r="Z190">
        <v>2.0099999999999998</v>
      </c>
      <c r="AA190">
        <v>28.84</v>
      </c>
      <c r="AB190">
        <f>Tableau1[[#This Row],[u2]]/Tableau1[[#This Row],[u1]]</f>
        <v>0.38266900576639656</v>
      </c>
      <c r="AC190">
        <f>ABS(Tableau1[[#This Row],[u2]]-Tableau1[[#This Row],[u1]])</f>
        <v>22.12505279814388</v>
      </c>
      <c r="AD190">
        <f>(Tableau1[[#This Row],[d1]]+0.002)/Tableau1[[#This Row],[d2]]</f>
        <v>0.4</v>
      </c>
      <c r="AE190">
        <f>Tableau1[[#This Row],[S2]]*Tableau1[[#This Row],[u2]]/(Tableau1[[#This Row],[S1]]*Tableau1[[#This Row],[u1]])*(1-Tableau1[[#This Row],[ALPHA]]^3)/(1-Tableau1[[#This Row],[ALPHA]]^4)</f>
        <v>0.60842226838346736</v>
      </c>
      <c r="AF190" s="1">
        <v>0</v>
      </c>
      <c r="AG190" s="1" t="s">
        <v>53</v>
      </c>
      <c r="AH190" t="s">
        <v>61</v>
      </c>
      <c r="AI190" t="s">
        <v>42</v>
      </c>
      <c r="AJ190" t="s">
        <v>42</v>
      </c>
      <c r="AK190">
        <v>50.7</v>
      </c>
      <c r="AL190">
        <v>55.1</v>
      </c>
      <c r="AM190">
        <v>3.8697343754803946</v>
      </c>
    </row>
    <row r="191" spans="1:39" x14ac:dyDescent="0.25">
      <c r="A191" t="s">
        <v>234</v>
      </c>
      <c r="B191">
        <v>10</v>
      </c>
      <c r="C191">
        <v>2.0408163265306127</v>
      </c>
      <c r="D191">
        <v>0.68</v>
      </c>
      <c r="E191">
        <v>65535</v>
      </c>
      <c r="F191">
        <v>0.28999999999999998</v>
      </c>
      <c r="G191">
        <v>0.55999999999999994</v>
      </c>
      <c r="H191" s="3">
        <f t="shared" si="0"/>
        <v>8.3300000000000005E-5</v>
      </c>
      <c r="I191">
        <v>4.206008583690986E-3</v>
      </c>
      <c r="J191" s="3">
        <f t="shared" si="1"/>
        <v>8.3300000000000005E-5</v>
      </c>
      <c r="K191">
        <v>2.3936634216127563E-3</v>
      </c>
      <c r="L191">
        <v>6.0000000000000001E-3</v>
      </c>
      <c r="M191">
        <v>0.02</v>
      </c>
      <c r="N191" s="3">
        <f>Tableau1[[#This Row],[mH2]]/Tableau1[[#This Row],[rho1]]/(PI()*Tableau1[[#This Row],[d1]]^2/4)</f>
        <v>35.839854154109695</v>
      </c>
      <c r="O191">
        <f>Tableau1[[#This Row],[m2]]/Tableau1[[#This Row],[rho2]]/(PI()/4*(Tableau1[[#This Row],[d2]]^2-(Tableau1[[#This Row],[d1]]+2*0.001)^2))</f>
        <v>13.513113100731021</v>
      </c>
      <c r="P191">
        <v>4</v>
      </c>
      <c r="Q191" t="s">
        <v>165</v>
      </c>
      <c r="R191" s="3">
        <f>Tableau1[[#This Row],[rho1]]*Tableau1[[#This Row],[u1]]*Tableau1[[#This Row],[d1]]/0.0000089385</f>
        <v>1977.6035143189399</v>
      </c>
      <c r="S191">
        <f>Tableau1[[#This Row],[rho2]]*Tableau1[[#This Row],[u2]]*(Tableau1[[#This Row],[d2]]-(Tableau1[[#This Row],[d1]]+2*0.001))/0.0000184725</f>
        <v>10353.72359347079</v>
      </c>
      <c r="T19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0.53640617577197147</v>
      </c>
      <c r="U191">
        <f>Tableau1[[#This Row],[S2]]/Tableau1[[#This Row],[S1]]*SQRT(Tableau1[[#This Row],[rho1]]/Tableau1[[#This Row],[rho2]])*Tableau1[[#This Row],[J]]^(1/2)*Tableau1[[#This Row],[d2]]/Tableau1[[#This Row],[d1]]</f>
        <v>2.4275664965859107</v>
      </c>
      <c r="V191">
        <v>0.29577464788732394</v>
      </c>
      <c r="W191">
        <v>2.8301886792452827E-2</v>
      </c>
      <c r="X191">
        <v>8.2202757376980351E-2</v>
      </c>
      <c r="Y191">
        <v>1.1794664292299073</v>
      </c>
      <c r="Z191">
        <v>2.0099999999999998</v>
      </c>
      <c r="AA191">
        <v>28.84</v>
      </c>
      <c r="AB191">
        <f>Tableau1[[#This Row],[u2]]/Tableau1[[#This Row],[u1]]</f>
        <v>0.3770415203874789</v>
      </c>
      <c r="AC191">
        <f>ABS(Tableau1[[#This Row],[u2]]-Tableau1[[#This Row],[u1]])</f>
        <v>22.326741053378676</v>
      </c>
      <c r="AD191">
        <f>(Tableau1[[#This Row],[d1]]+0.002)/Tableau1[[#This Row],[d2]]</f>
        <v>0.4</v>
      </c>
      <c r="AE191">
        <f>Tableau1[[#This Row],[S2]]*Tableau1[[#This Row],[u2]]/(Tableau1[[#This Row],[S1]]*Tableau1[[#This Row],[u1]])*(1-Tableau1[[#This Row],[ALPHA]]^3)/(1-Tableau1[[#This Row],[ALPHA]]^4)</f>
        <v>0.69938736243099531</v>
      </c>
      <c r="AF191" s="1">
        <v>1</v>
      </c>
      <c r="AG191" s="1" t="s">
        <v>40</v>
      </c>
      <c r="AH191" t="s">
        <v>41</v>
      </c>
      <c r="AI191" t="s">
        <v>42</v>
      </c>
      <c r="AJ191" t="s">
        <v>42</v>
      </c>
      <c r="AK191">
        <v>25.7</v>
      </c>
      <c r="AL191">
        <v>26.5</v>
      </c>
      <c r="AM191">
        <v>1.8292713108522383</v>
      </c>
    </row>
    <row r="192" spans="1:39" x14ac:dyDescent="0.25">
      <c r="A192" t="s">
        <v>235</v>
      </c>
      <c r="B192">
        <v>10</v>
      </c>
      <c r="C192">
        <v>2.0408163265306127</v>
      </c>
      <c r="D192">
        <v>0.68</v>
      </c>
      <c r="E192">
        <v>65535</v>
      </c>
      <c r="F192">
        <v>0.28999999999999998</v>
      </c>
      <c r="G192">
        <v>0.64000000000000012</v>
      </c>
      <c r="H192" s="3">
        <f t="shared" si="0"/>
        <v>8.3300000000000005E-5</v>
      </c>
      <c r="I192">
        <v>4.206008583690986E-3</v>
      </c>
      <c r="J192" s="3">
        <f t="shared" si="1"/>
        <v>8.3300000000000005E-5</v>
      </c>
      <c r="K192">
        <v>2.7356153389860075E-3</v>
      </c>
      <c r="L192">
        <v>6.0000000000000001E-3</v>
      </c>
      <c r="M192">
        <v>0.02</v>
      </c>
      <c r="N192" s="3">
        <f>Tableau1[[#This Row],[mH2]]/Tableau1[[#This Row],[rho1]]/(PI()*Tableau1[[#This Row],[d1]]^2/4)</f>
        <v>35.839854154109695</v>
      </c>
      <c r="O192">
        <f>Tableau1[[#This Row],[m2]]/Tableau1[[#This Row],[rho2]]/(PI()/4*(Tableau1[[#This Row],[d2]]^2-(Tableau1[[#This Row],[d1]]+2*0.001)^2))</f>
        <v>13.513113100731021</v>
      </c>
      <c r="P192">
        <v>4</v>
      </c>
      <c r="Q192" t="s">
        <v>165</v>
      </c>
      <c r="R192" s="3">
        <f>Tableau1[[#This Row],[rho1]]*Tableau1[[#This Row],[u1]]*Tableau1[[#This Row],[d1]]/0.0000089385</f>
        <v>1977.6035143189399</v>
      </c>
      <c r="S192">
        <f>Tableau1[[#This Row],[rho2]]*Tableau1[[#This Row],[u2]]*(Tableau1[[#This Row],[d2]]-(Tableau1[[#This Row],[d1]]+2*0.001))/0.0000184725</f>
        <v>10353.72359347079</v>
      </c>
      <c r="T19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0.61241567695962007</v>
      </c>
      <c r="U192">
        <f>Tableau1[[#This Row],[S2]]/Tableau1[[#This Row],[S1]]*SQRT(Tableau1[[#This Row],[rho1]]/Tableau1[[#This Row],[rho2]])*Tableau1[[#This Row],[J]]^(1/2)*Tableau1[[#This Row],[d2]]/Tableau1[[#This Row],[d1]]</f>
        <v>2.7743617103838982</v>
      </c>
      <c r="V192">
        <v>0.29577464788732394</v>
      </c>
      <c r="W192">
        <v>2.8301886792452827E-2</v>
      </c>
      <c r="X192">
        <v>8.2202757376980351E-2</v>
      </c>
      <c r="Y192">
        <v>1.1794664292299073</v>
      </c>
      <c r="Z192">
        <v>2.0099999999999998</v>
      </c>
      <c r="AA192">
        <v>28.84</v>
      </c>
      <c r="AB192">
        <f>Tableau1[[#This Row],[u2]]/Tableau1[[#This Row],[u1]]</f>
        <v>0.3770415203874789</v>
      </c>
      <c r="AC192">
        <f>ABS(Tableau1[[#This Row],[u2]]-Tableau1[[#This Row],[u1]])</f>
        <v>22.326741053378676</v>
      </c>
      <c r="AD192">
        <f>(Tableau1[[#This Row],[d1]]+0.002)/Tableau1[[#This Row],[d2]]</f>
        <v>0.4</v>
      </c>
      <c r="AE192">
        <f>Tableau1[[#This Row],[S2]]*Tableau1[[#This Row],[u2]]/(Tableau1[[#This Row],[S1]]*Tableau1[[#This Row],[u1]])*(1-Tableau1[[#This Row],[ALPHA]]^3)/(1-Tableau1[[#This Row],[ALPHA]]^4)</f>
        <v>0.79929984277828059</v>
      </c>
      <c r="AF192" s="1">
        <v>1</v>
      </c>
      <c r="AG192" s="1" t="s">
        <v>40</v>
      </c>
      <c r="AH192" t="s">
        <v>41</v>
      </c>
      <c r="AI192" t="s">
        <v>42</v>
      </c>
      <c r="AJ192" t="s">
        <v>42</v>
      </c>
      <c r="AK192">
        <v>20.3</v>
      </c>
      <c r="AL192">
        <v>21.9</v>
      </c>
      <c r="AM192">
        <v>1.5117374229307172</v>
      </c>
    </row>
    <row r="193" spans="1:39" x14ac:dyDescent="0.25">
      <c r="A193" t="s">
        <v>236</v>
      </c>
      <c r="B193">
        <v>10</v>
      </c>
      <c r="C193">
        <v>1.5624999999999998</v>
      </c>
      <c r="D193">
        <v>0.77</v>
      </c>
      <c r="E193">
        <v>65535</v>
      </c>
      <c r="F193">
        <v>0.28999999999999998</v>
      </c>
      <c r="G193">
        <v>0.48</v>
      </c>
      <c r="H193" s="3">
        <f t="shared" si="0"/>
        <v>8.3300000000000005E-5</v>
      </c>
      <c r="I193">
        <v>3.7143971907920401E-3</v>
      </c>
      <c r="J193" s="3">
        <f t="shared" si="1"/>
        <v>8.3300000000000005E-5</v>
      </c>
      <c r="K193">
        <v>1.8119010686790437E-3</v>
      </c>
      <c r="L193">
        <v>6.0000000000000001E-3</v>
      </c>
      <c r="M193">
        <v>0.02</v>
      </c>
      <c r="N193" s="3">
        <f>Tableau1[[#This Row],[mH2]]/Tableau1[[#This Row],[rho1]]/(PI()*Tableau1[[#This Row],[d1]]^2/4)</f>
        <v>35.839854154109695</v>
      </c>
      <c r="O193">
        <f>Tableau1[[#This Row],[m2]]/Tableau1[[#This Row],[rho2]]/(PI()/4*(Tableau1[[#This Row],[d2]]^2-(Tableau1[[#This Row],[d1]]+2*0.001)^2))</f>
        <v>11.933658322723501</v>
      </c>
      <c r="P193">
        <v>4</v>
      </c>
      <c r="Q193" t="s">
        <v>165</v>
      </c>
      <c r="R193" s="3">
        <f>Tableau1[[#This Row],[rho1]]*Tableau1[[#This Row],[u1]]*Tableau1[[#This Row],[d1]]/0.0000089385</f>
        <v>1977.6035143189399</v>
      </c>
      <c r="S193">
        <f>Tableau1[[#This Row],[rho2]]*Tableau1[[#This Row],[u2]]*(Tableau1[[#This Row],[d2]]-(Tableau1[[#This Row],[d1]]+2*0.001))/0.0000184725</f>
        <v>9143.5481085196607</v>
      </c>
      <c r="T19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0.45478074866310159</v>
      </c>
      <c r="U193">
        <f>Tableau1[[#This Row],[S2]]/Tableau1[[#This Row],[S1]]*SQRT(Tableau1[[#This Row],[rho1]]/Tableau1[[#This Row],[rho2]])*Tableau1[[#This Row],[J]]^(1/2)*Tableau1[[#This Row],[d2]]/Tableau1[[#This Row],[d1]]</f>
        <v>1.8206748724394328</v>
      </c>
      <c r="V193">
        <v>0.29577464788732394</v>
      </c>
      <c r="W193">
        <v>2.8301886792452827E-2</v>
      </c>
      <c r="X193">
        <v>8.2202757376980351E-2</v>
      </c>
      <c r="Y193">
        <v>1.1794664292299073</v>
      </c>
      <c r="Z193">
        <v>2.0099999999999998</v>
      </c>
      <c r="AA193">
        <v>28.84</v>
      </c>
      <c r="AB193">
        <f>Tableau1[[#This Row],[u2]]/Tableau1[[#This Row],[u1]]</f>
        <v>0.33297173229024118</v>
      </c>
      <c r="AC193">
        <f>ABS(Tableau1[[#This Row],[u2]]-Tableau1[[#This Row],[u1]])</f>
        <v>23.906195831386192</v>
      </c>
      <c r="AD193">
        <f>(Tableau1[[#This Row],[d1]]+0.002)/Tableau1[[#This Row],[d2]]</f>
        <v>0.4</v>
      </c>
      <c r="AE193">
        <f>Tableau1[[#This Row],[S2]]*Tableau1[[#This Row],[u2]]/(Tableau1[[#This Row],[S1]]*Tableau1[[#This Row],[u1]])*(1-Tableau1[[#This Row],[ALPHA]]^3)/(1-Tableau1[[#This Row],[ALPHA]]^4)</f>
        <v>0.52940638937262741</v>
      </c>
      <c r="AF193" s="1">
        <v>0</v>
      </c>
      <c r="AG193" s="1" t="s">
        <v>53</v>
      </c>
      <c r="AH193" t="s">
        <v>61</v>
      </c>
      <c r="AI193" t="s">
        <v>42</v>
      </c>
      <c r="AJ193" t="s">
        <v>42</v>
      </c>
      <c r="AK193" t="s">
        <v>44</v>
      </c>
      <c r="AL193">
        <v>54.8</v>
      </c>
      <c r="AM193">
        <v>3.2669557960039648</v>
      </c>
    </row>
    <row r="194" spans="1:39" x14ac:dyDescent="0.25">
      <c r="A194" t="s">
        <v>237</v>
      </c>
      <c r="B194">
        <v>10</v>
      </c>
      <c r="C194">
        <v>1.5624999999999998</v>
      </c>
      <c r="D194">
        <v>0.77</v>
      </c>
      <c r="E194">
        <v>65535</v>
      </c>
      <c r="F194">
        <v>0.28999999999999998</v>
      </c>
      <c r="G194">
        <v>0.55999999999999994</v>
      </c>
      <c r="H194" s="3">
        <f t="shared" si="0"/>
        <v>8.3300000000000005E-5</v>
      </c>
      <c r="I194">
        <v>3.7143971907920401E-3</v>
      </c>
      <c r="J194" s="3">
        <f t="shared" si="1"/>
        <v>8.3300000000000005E-5</v>
      </c>
      <c r="K194">
        <v>2.1138845801255512E-3</v>
      </c>
      <c r="L194">
        <v>6.0000000000000001E-3</v>
      </c>
      <c r="M194">
        <v>0.02</v>
      </c>
      <c r="N194" s="3">
        <f>Tableau1[[#This Row],[mH2]]/Tableau1[[#This Row],[rho1]]/(PI()*Tableau1[[#This Row],[d1]]^2/4)</f>
        <v>35.839854154109695</v>
      </c>
      <c r="O194">
        <f>Tableau1[[#This Row],[m2]]/Tableau1[[#This Row],[rho2]]/(PI()/4*(Tableau1[[#This Row],[d2]]^2-(Tableau1[[#This Row],[d1]]+2*0.001)^2))</f>
        <v>11.933658322723501</v>
      </c>
      <c r="P194">
        <v>4</v>
      </c>
      <c r="Q194" t="s">
        <v>165</v>
      </c>
      <c r="R194" s="3">
        <f>Tableau1[[#This Row],[rho1]]*Tableau1[[#This Row],[u1]]*Tableau1[[#This Row],[d1]]/0.0000089385</f>
        <v>1977.6035143189399</v>
      </c>
      <c r="S194">
        <f>Tableau1[[#This Row],[rho2]]*Tableau1[[#This Row],[u2]]*(Tableau1[[#This Row],[d2]]-(Tableau1[[#This Row],[d1]]+2*0.001))/0.0000184725</f>
        <v>9143.5481085196607</v>
      </c>
      <c r="T19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0.52964705882352925</v>
      </c>
      <c r="U194">
        <f>Tableau1[[#This Row],[S2]]/Tableau1[[#This Row],[S1]]*SQRT(Tableau1[[#This Row],[rho1]]/Tableau1[[#This Row],[rho2]])*Tableau1[[#This Row],[J]]^(1/2)*Tableau1[[#This Row],[d2]]/Tableau1[[#This Row],[d1]]</f>
        <v>2.1241206845126719</v>
      </c>
      <c r="V194">
        <v>0.29577464788732394</v>
      </c>
      <c r="W194">
        <v>2.8301886792452827E-2</v>
      </c>
      <c r="X194">
        <v>8.2202757376980351E-2</v>
      </c>
      <c r="Y194">
        <v>1.1794664292299073</v>
      </c>
      <c r="Z194">
        <v>2.0099999999999998</v>
      </c>
      <c r="AA194">
        <v>28.84</v>
      </c>
      <c r="AB194">
        <f>Tableau1[[#This Row],[u2]]/Tableau1[[#This Row],[u1]]</f>
        <v>0.33297173229024118</v>
      </c>
      <c r="AC194">
        <f>ABS(Tableau1[[#This Row],[u2]]-Tableau1[[#This Row],[u1]])</f>
        <v>23.906195831386192</v>
      </c>
      <c r="AD194">
        <f>(Tableau1[[#This Row],[d1]]+0.002)/Tableau1[[#This Row],[d2]]</f>
        <v>0.4</v>
      </c>
      <c r="AE194">
        <f>Tableau1[[#This Row],[S2]]*Tableau1[[#This Row],[u2]]/(Tableau1[[#This Row],[S1]]*Tableau1[[#This Row],[u1]])*(1-Tableau1[[#This Row],[ALPHA]]^3)/(1-Tableau1[[#This Row],[ALPHA]]^4)</f>
        <v>0.61764078760139862</v>
      </c>
      <c r="AF194" s="1">
        <v>1</v>
      </c>
      <c r="AG194" s="1" t="s">
        <v>40</v>
      </c>
      <c r="AH194" t="s">
        <v>41</v>
      </c>
      <c r="AI194" t="s">
        <v>42</v>
      </c>
      <c r="AJ194" t="s">
        <v>42</v>
      </c>
      <c r="AK194">
        <v>29.7</v>
      </c>
      <c r="AL194">
        <v>30.6</v>
      </c>
      <c r="AM194">
        <v>1.8242490393744768</v>
      </c>
    </row>
    <row r="195" spans="1:39" x14ac:dyDescent="0.25">
      <c r="A195" t="s">
        <v>238</v>
      </c>
      <c r="B195">
        <v>10</v>
      </c>
      <c r="C195">
        <v>1.5624999999999998</v>
      </c>
      <c r="D195">
        <v>0.77</v>
      </c>
      <c r="E195">
        <v>65535</v>
      </c>
      <c r="F195">
        <v>0.28999999999999998</v>
      </c>
      <c r="G195">
        <v>0.64000000000000012</v>
      </c>
      <c r="H195" s="3">
        <f t="shared" ref="H195:H227" si="2">J195</f>
        <v>8.3300000000000005E-5</v>
      </c>
      <c r="I195">
        <v>3.7143971907920401E-3</v>
      </c>
      <c r="J195" s="3">
        <f t="shared" ref="J195:J227" si="3">0.0000833</f>
        <v>8.3300000000000005E-5</v>
      </c>
      <c r="K195">
        <v>2.4158680915720588E-3</v>
      </c>
      <c r="L195">
        <v>6.0000000000000001E-3</v>
      </c>
      <c r="M195">
        <v>0.02</v>
      </c>
      <c r="N195" s="3">
        <f>Tableau1[[#This Row],[mH2]]/Tableau1[[#This Row],[rho1]]/(PI()*Tableau1[[#This Row],[d1]]^2/4)</f>
        <v>35.839854154109695</v>
      </c>
      <c r="O195">
        <f>Tableau1[[#This Row],[m2]]/Tableau1[[#This Row],[rho2]]/(PI()/4*(Tableau1[[#This Row],[d2]]^2-(Tableau1[[#This Row],[d1]]+2*0.001)^2))</f>
        <v>11.933658322723501</v>
      </c>
      <c r="P195">
        <v>4</v>
      </c>
      <c r="Q195" t="s">
        <v>165</v>
      </c>
      <c r="R195" s="3">
        <f>Tableau1[[#This Row],[rho1]]*Tableau1[[#This Row],[u1]]*Tableau1[[#This Row],[d1]]/0.0000089385</f>
        <v>1977.6035143189399</v>
      </c>
      <c r="S195">
        <f>Tableau1[[#This Row],[rho2]]*Tableau1[[#This Row],[u2]]*(Tableau1[[#This Row],[d2]]-(Tableau1[[#This Row],[d1]]+2*0.001))/0.0000184725</f>
        <v>9143.5481085196607</v>
      </c>
      <c r="T19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0.60451336898395724</v>
      </c>
      <c r="U195">
        <f>Tableau1[[#This Row],[S2]]/Tableau1[[#This Row],[S1]]*SQRT(Tableau1[[#This Row],[rho1]]/Tableau1[[#This Row],[rho2]])*Tableau1[[#This Row],[J]]^(1/2)*Tableau1[[#This Row],[d2]]/Tableau1[[#This Row],[d1]]</f>
        <v>2.4275664965859107</v>
      </c>
      <c r="V195">
        <v>0.29577464788732394</v>
      </c>
      <c r="W195">
        <v>2.8301886792452827E-2</v>
      </c>
      <c r="X195">
        <v>8.2202757376980351E-2</v>
      </c>
      <c r="Y195">
        <v>1.1794664292299073</v>
      </c>
      <c r="Z195">
        <v>2.0099999999999998</v>
      </c>
      <c r="AA195">
        <v>28.84</v>
      </c>
      <c r="AB195">
        <f>Tableau1[[#This Row],[u2]]/Tableau1[[#This Row],[u1]]</f>
        <v>0.33297173229024118</v>
      </c>
      <c r="AC195">
        <f>ABS(Tableau1[[#This Row],[u2]]-Tableau1[[#This Row],[u1]])</f>
        <v>23.906195831386192</v>
      </c>
      <c r="AD195">
        <f>(Tableau1[[#This Row],[d1]]+0.002)/Tableau1[[#This Row],[d2]]</f>
        <v>0.4</v>
      </c>
      <c r="AE195">
        <f>Tableau1[[#This Row],[S2]]*Tableau1[[#This Row],[u2]]/(Tableau1[[#This Row],[S1]]*Tableau1[[#This Row],[u1]])*(1-Tableau1[[#This Row],[ALPHA]]^3)/(1-Tableau1[[#This Row],[ALPHA]]^4)</f>
        <v>0.70587518583017006</v>
      </c>
      <c r="AF195" s="1">
        <v>1</v>
      </c>
      <c r="AG195" s="1" t="s">
        <v>40</v>
      </c>
      <c r="AH195" t="s">
        <v>41</v>
      </c>
      <c r="AI195" t="s">
        <v>42</v>
      </c>
      <c r="AJ195" t="s">
        <v>42</v>
      </c>
      <c r="AK195">
        <v>23.8</v>
      </c>
      <c r="AL195">
        <v>24.6</v>
      </c>
      <c r="AM195">
        <v>1.4665531493010497</v>
      </c>
    </row>
    <row r="196" spans="1:39" x14ac:dyDescent="0.25">
      <c r="A196" t="s">
        <v>203</v>
      </c>
      <c r="B196">
        <v>10</v>
      </c>
      <c r="C196">
        <v>11.111111111111111</v>
      </c>
      <c r="D196">
        <v>0.28999999999999998</v>
      </c>
      <c r="E196">
        <v>65535</v>
      </c>
      <c r="F196">
        <v>0</v>
      </c>
      <c r="G196">
        <v>0.55999999999999994</v>
      </c>
      <c r="H196" s="3">
        <f t="shared" si="2"/>
        <v>8.3300000000000005E-5</v>
      </c>
      <c r="I196">
        <v>9.862364954861624E-3</v>
      </c>
      <c r="J196" s="3">
        <f t="shared" si="3"/>
        <v>8.3300000000000005E-5</v>
      </c>
      <c r="K196">
        <v>5.6127280230919814E-3</v>
      </c>
      <c r="L196">
        <v>6.0000000000000001E-3</v>
      </c>
      <c r="M196">
        <v>0.02</v>
      </c>
      <c r="N196" s="3">
        <f>Tableau1[[#This Row],[mH2]]/Tableau1[[#This Row],[rho1]]/(PI()*Tableau1[[#This Row],[d1]]^2/4)</f>
        <v>35.839854154109695</v>
      </c>
      <c r="O196">
        <f>Tableau1[[#This Row],[m2]]/Tableau1[[#This Row],[rho2]]/(PI()/4*(Tableau1[[#This Row],[d2]]^2-(Tableau1[[#This Row],[d1]]+2*0.001)^2))</f>
        <v>31.685920374127917</v>
      </c>
      <c r="P196">
        <v>4</v>
      </c>
      <c r="Q196" t="s">
        <v>165</v>
      </c>
      <c r="R196" s="3">
        <f>Tableau1[[#This Row],[rho1]]*Tableau1[[#This Row],[u1]]*Tableau1[[#This Row],[d1]]/0.0000089385</f>
        <v>1977.6035143189399</v>
      </c>
      <c r="S196">
        <f>Tableau1[[#This Row],[rho2]]*Tableau1[[#This Row],[u2]]*(Tableau1[[#This Row],[d2]]-(Tableau1[[#This Row],[d1]]+2*0.001))/0.0000184725</f>
        <v>24277.696701931513</v>
      </c>
      <c r="T19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0.55465157410682697</v>
      </c>
      <c r="U196" t="e">
        <f>Tableau1[[#This Row],[S2]]/Tableau1[[#This Row],[S1]]*SQRT(Tableau1[[#This Row],[rho1]]/Tableau1[[#This Row],[rho2]])*Tableau1[[#This Row],[J]]^(1/2)*Tableau1[[#This Row],[d2]]/Tableau1[[#This Row],[d1]]</f>
        <v>#DIV/0!</v>
      </c>
      <c r="V196">
        <v>0.29577464788732394</v>
      </c>
      <c r="W196">
        <v>2.8301886792452827E-2</v>
      </c>
      <c r="X196">
        <v>8.2202757376980351E-2</v>
      </c>
      <c r="Y196">
        <v>1.1794664292299073</v>
      </c>
      <c r="Z196">
        <v>2.0099999999999998</v>
      </c>
      <c r="AA196">
        <v>28.84</v>
      </c>
      <c r="AB196">
        <f>Tableau1[[#This Row],[u2]]/Tableau1[[#This Row],[u1]]</f>
        <v>0.88409735814995072</v>
      </c>
      <c r="AC196">
        <f>ABS(Tableau1[[#This Row],[u2]]-Tableau1[[#This Row],[u1]])</f>
        <v>4.1539337799817773</v>
      </c>
      <c r="AD196">
        <f>(Tableau1[[#This Row],[d1]]+0.002)/Tableau1[[#This Row],[d2]]</f>
        <v>0.4</v>
      </c>
      <c r="AE196" t="e">
        <f>Tableau1[[#This Row],[S2]]*Tableau1[[#This Row],[u2]]/(Tableau1[[#This Row],[S1]]*Tableau1[[#This Row],[u1]])*(1-Tableau1[[#This Row],[ALPHA]]^3)/(1-Tableau1[[#This Row],[ALPHA]]^4)</f>
        <v>#DIV/0!</v>
      </c>
      <c r="AF196" s="1">
        <v>1</v>
      </c>
      <c r="AG196" s="1" t="s">
        <v>40</v>
      </c>
      <c r="AH196" t="s">
        <v>41</v>
      </c>
      <c r="AI196" t="s">
        <v>42</v>
      </c>
      <c r="AJ196" t="s">
        <v>42</v>
      </c>
      <c r="AK196">
        <v>2.2000000000000002</v>
      </c>
      <c r="AL196">
        <v>10.4</v>
      </c>
      <c r="AM196">
        <v>1.8442760517723935</v>
      </c>
    </row>
    <row r="197" spans="1:39" x14ac:dyDescent="0.25">
      <c r="A197" t="s">
        <v>239</v>
      </c>
      <c r="B197">
        <v>10</v>
      </c>
      <c r="C197">
        <v>1.2345679012345678</v>
      </c>
      <c r="D197">
        <v>0.86</v>
      </c>
      <c r="E197">
        <v>65535</v>
      </c>
      <c r="F197">
        <v>0.28999999999999998</v>
      </c>
      <c r="G197">
        <v>0.48</v>
      </c>
      <c r="H197" s="3">
        <f t="shared" si="2"/>
        <v>8.3300000000000005E-5</v>
      </c>
      <c r="I197">
        <v>3.3256812057091524E-3</v>
      </c>
      <c r="J197" s="3">
        <f t="shared" si="3"/>
        <v>8.3300000000000005E-5</v>
      </c>
      <c r="K197">
        <v>1.6222835149800742E-3</v>
      </c>
      <c r="L197">
        <v>6.0000000000000001E-3</v>
      </c>
      <c r="M197">
        <v>0.02</v>
      </c>
      <c r="N197" s="3">
        <f>Tableau1[[#This Row],[mH2]]/Tableau1[[#This Row],[rho1]]/(PI()*Tableau1[[#This Row],[d1]]^2/4)</f>
        <v>35.839854154109695</v>
      </c>
      <c r="O197">
        <f>Tableau1[[#This Row],[m2]]/Tableau1[[#This Row],[rho2]]/(PI()/4*(Tableau1[[#This Row],[d2]]^2-(Tableau1[[#This Row],[d1]]+2*0.001)^2))</f>
        <v>10.6847871029036</v>
      </c>
      <c r="P197">
        <v>4</v>
      </c>
      <c r="Q197" t="s">
        <v>165</v>
      </c>
      <c r="R197" s="3">
        <f>Tableau1[[#This Row],[rho1]]*Tableau1[[#This Row],[u1]]*Tableau1[[#This Row],[d1]]/0.0000089385</f>
        <v>1977.6035143189399</v>
      </c>
      <c r="S197">
        <f>Tableau1[[#This Row],[rho2]]*Tableau1[[#This Row],[u2]]*(Tableau1[[#This Row],[d2]]-(Tableau1[[#This Row],[d1]]+2*0.001))/0.0000184725</f>
        <v>8186.6651669303938</v>
      </c>
      <c r="T19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0.44861682550115012</v>
      </c>
      <c r="U197">
        <f>Tableau1[[#This Row],[S2]]/Tableau1[[#This Row],[S1]]*SQRT(Tableau1[[#This Row],[rho1]]/Tableau1[[#This Row],[rho2]])*Tableau1[[#This Row],[J]]^(1/2)*Tableau1[[#This Row],[d2]]/Tableau1[[#This Row],[d1]]</f>
        <v>1.6183776643906072</v>
      </c>
      <c r="V197">
        <v>0.29577464788732394</v>
      </c>
      <c r="W197">
        <v>2.8301886792452827E-2</v>
      </c>
      <c r="X197">
        <v>8.2202757376980351E-2</v>
      </c>
      <c r="Y197">
        <v>1.1794664292299073</v>
      </c>
      <c r="Z197">
        <v>2.0099999999999998</v>
      </c>
      <c r="AA197">
        <v>28.84</v>
      </c>
      <c r="AB197">
        <f>Tableau1[[#This Row],[u2]]/Tableau1[[#This Row],[u1]]</f>
        <v>0.29812585332963454</v>
      </c>
      <c r="AC197">
        <f>ABS(Tableau1[[#This Row],[u2]]-Tableau1[[#This Row],[u1]])</f>
        <v>25.155067051206096</v>
      </c>
      <c r="AD197">
        <f>(Tableau1[[#This Row],[d1]]+0.002)/Tableau1[[#This Row],[d2]]</f>
        <v>0.4</v>
      </c>
      <c r="AE197">
        <f>Tableau1[[#This Row],[S2]]*Tableau1[[#This Row],[u2]]/(Tableau1[[#This Row],[S1]]*Tableau1[[#This Row],[u1]])*(1-Tableau1[[#This Row],[ALPHA]]^3)/(1-Tableau1[[#This Row],[ALPHA]]^4)</f>
        <v>0.47400339513595707</v>
      </c>
      <c r="AF197" s="1">
        <v>0</v>
      </c>
      <c r="AG197" s="1" t="s">
        <v>53</v>
      </c>
      <c r="AH197" t="s">
        <v>61</v>
      </c>
      <c r="AI197" t="s">
        <v>42</v>
      </c>
      <c r="AJ197" t="s">
        <v>42</v>
      </c>
      <c r="AK197" t="s">
        <v>44</v>
      </c>
      <c r="AL197">
        <v>55.8</v>
      </c>
      <c r="AM197">
        <v>2.9112561345779562</v>
      </c>
    </row>
    <row r="198" spans="1:39" x14ac:dyDescent="0.25">
      <c r="A198" t="s">
        <v>240</v>
      </c>
      <c r="B198">
        <v>10</v>
      </c>
      <c r="C198">
        <v>1.2345679012345678</v>
      </c>
      <c r="D198">
        <v>0.87</v>
      </c>
      <c r="E198">
        <v>65535</v>
      </c>
      <c r="F198">
        <v>0.28999999999999998</v>
      </c>
      <c r="G198">
        <v>0.55999999999999994</v>
      </c>
      <c r="H198" s="3">
        <f t="shared" si="2"/>
        <v>8.3300000000000005E-5</v>
      </c>
      <c r="I198">
        <v>3.287454984953875E-3</v>
      </c>
      <c r="J198" s="3">
        <f t="shared" si="3"/>
        <v>8.3300000000000005E-5</v>
      </c>
      <c r="K198">
        <v>1.8709093410306603E-3</v>
      </c>
      <c r="L198">
        <v>6.0000000000000001E-3</v>
      </c>
      <c r="M198">
        <v>0.02</v>
      </c>
      <c r="N198" s="3">
        <f>Tableau1[[#This Row],[mH2]]/Tableau1[[#This Row],[rho1]]/(PI()*Tableau1[[#This Row],[d1]]^2/4)</f>
        <v>35.839854154109695</v>
      </c>
      <c r="O198">
        <f>Tableau1[[#This Row],[m2]]/Tableau1[[#This Row],[rho2]]/(PI()/4*(Tableau1[[#This Row],[d2]]^2-(Tableau1[[#This Row],[d1]]+2*0.001)^2))</f>
        <v>10.56197345804264</v>
      </c>
      <c r="P198">
        <v>4</v>
      </c>
      <c r="Q198" t="s">
        <v>165</v>
      </c>
      <c r="R198" s="3">
        <f>Tableau1[[#This Row],[rho1]]*Tableau1[[#This Row],[u1]]*Tableau1[[#This Row],[d1]]/0.0000089385</f>
        <v>1977.6035143189399</v>
      </c>
      <c r="S198">
        <f>Tableau1[[#This Row],[rho2]]*Tableau1[[#This Row],[u2]]*(Tableau1[[#This Row],[d2]]-(Tableau1[[#This Row],[d1]]+2*0.001))/0.0000184725</f>
        <v>8092.5655673105057</v>
      </c>
      <c r="T19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0.52222839303319091</v>
      </c>
      <c r="U198">
        <f>Tableau1[[#This Row],[S2]]/Tableau1[[#This Row],[S1]]*SQRT(Tableau1[[#This Row],[rho1]]/Tableau1[[#This Row],[rho2]])*Tableau1[[#This Row],[J]]^(1/2)*Tableau1[[#This Row],[d2]]/Tableau1[[#This Row],[d1]]</f>
        <v>1.8881072751223749</v>
      </c>
      <c r="V198">
        <v>0.29577464788732394</v>
      </c>
      <c r="W198">
        <v>2.8301886792452827E-2</v>
      </c>
      <c r="X198">
        <v>8.2202757376980351E-2</v>
      </c>
      <c r="Y198">
        <v>1.1794664292299073</v>
      </c>
      <c r="Z198">
        <v>2.0099999999999998</v>
      </c>
      <c r="AA198">
        <v>28.84</v>
      </c>
      <c r="AB198">
        <f>Tableau1[[#This Row],[u2]]/Tableau1[[#This Row],[u1]]</f>
        <v>0.29469911938331694</v>
      </c>
      <c r="AC198">
        <f>ABS(Tableau1[[#This Row],[u2]]-Tableau1[[#This Row],[u1]])</f>
        <v>25.277880696067054</v>
      </c>
      <c r="AD198">
        <f>(Tableau1[[#This Row],[d1]]+0.002)/Tableau1[[#This Row],[d2]]</f>
        <v>0.4</v>
      </c>
      <c r="AE198">
        <f>Tableau1[[#This Row],[S2]]*Tableau1[[#This Row],[u2]]/(Tableau1[[#This Row],[S1]]*Tableau1[[#This Row],[u1]])*(1-Tableau1[[#This Row],[ALPHA]]^3)/(1-Tableau1[[#This Row],[ALPHA]]^4)</f>
        <v>0.54664759362422644</v>
      </c>
      <c r="AF198" s="1">
        <v>1</v>
      </c>
      <c r="AG198" s="1" t="s">
        <v>40</v>
      </c>
      <c r="AH198" t="s">
        <v>41</v>
      </c>
      <c r="AI198" t="s">
        <v>42</v>
      </c>
      <c r="AJ198" t="s">
        <v>42</v>
      </c>
      <c r="AK198">
        <v>32.4</v>
      </c>
      <c r="AL198">
        <v>33.5</v>
      </c>
      <c r="AM198">
        <v>1.7232772946993082</v>
      </c>
    </row>
    <row r="199" spans="1:39" x14ac:dyDescent="0.25">
      <c r="A199" t="s">
        <v>241</v>
      </c>
      <c r="B199">
        <v>10</v>
      </c>
      <c r="C199">
        <v>1.2345679012345678</v>
      </c>
      <c r="D199">
        <v>0.87</v>
      </c>
      <c r="E199">
        <v>65535</v>
      </c>
      <c r="F199">
        <v>0.28999999999999998</v>
      </c>
      <c r="G199">
        <v>0.64000000000000012</v>
      </c>
      <c r="H199" s="3">
        <f t="shared" si="2"/>
        <v>8.3300000000000005E-5</v>
      </c>
      <c r="I199">
        <v>3.287454984953875E-3</v>
      </c>
      <c r="J199" s="3">
        <f t="shared" si="3"/>
        <v>8.3300000000000005E-5</v>
      </c>
      <c r="K199">
        <v>2.1381821040350408E-3</v>
      </c>
      <c r="L199">
        <v>6.0000000000000001E-3</v>
      </c>
      <c r="M199">
        <v>0.02</v>
      </c>
      <c r="N199" s="3">
        <f>Tableau1[[#This Row],[mH2]]/Tableau1[[#This Row],[rho1]]/(PI()*Tableau1[[#This Row],[d1]]^2/4)</f>
        <v>35.839854154109695</v>
      </c>
      <c r="O199">
        <f>Tableau1[[#This Row],[m2]]/Tableau1[[#This Row],[rho2]]/(PI()/4*(Tableau1[[#This Row],[d2]]^2-(Tableau1[[#This Row],[d1]]+2*0.001)^2))</f>
        <v>10.56197345804264</v>
      </c>
      <c r="P199">
        <v>4</v>
      </c>
      <c r="Q199" t="s">
        <v>165</v>
      </c>
      <c r="R199" s="3">
        <f>Tableau1[[#This Row],[rho1]]*Tableau1[[#This Row],[u1]]*Tableau1[[#This Row],[d1]]/0.0000089385</f>
        <v>1977.6035143189399</v>
      </c>
      <c r="S199">
        <f>Tableau1[[#This Row],[rho2]]*Tableau1[[#This Row],[u2]]*(Tableau1[[#This Row],[d2]]-(Tableau1[[#This Row],[d1]]+2*0.001))/0.0000184725</f>
        <v>8092.5655673105057</v>
      </c>
      <c r="T19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0.59583996056523181</v>
      </c>
      <c r="U199">
        <f>Tableau1[[#This Row],[S2]]/Tableau1[[#This Row],[S1]]*SQRT(Tableau1[[#This Row],[rho1]]/Tableau1[[#This Row],[rho2]])*Tableau1[[#This Row],[J]]^(1/2)*Tableau1[[#This Row],[d2]]/Tableau1[[#This Row],[d1]]</f>
        <v>2.157836885854143</v>
      </c>
      <c r="V199">
        <v>0.29577464788732394</v>
      </c>
      <c r="W199">
        <v>2.8301886792452827E-2</v>
      </c>
      <c r="X199">
        <v>8.2202757376980351E-2</v>
      </c>
      <c r="Y199">
        <v>1.1794664292299073</v>
      </c>
      <c r="Z199">
        <v>2.0099999999999998</v>
      </c>
      <c r="AA199">
        <v>28.84</v>
      </c>
      <c r="AB199">
        <f>Tableau1[[#This Row],[u2]]/Tableau1[[#This Row],[u1]]</f>
        <v>0.29469911938331694</v>
      </c>
      <c r="AC199">
        <f>ABS(Tableau1[[#This Row],[u2]]-Tableau1[[#This Row],[u1]])</f>
        <v>25.277880696067054</v>
      </c>
      <c r="AD199">
        <f>(Tableau1[[#This Row],[d1]]+0.002)/Tableau1[[#This Row],[d2]]</f>
        <v>0.4</v>
      </c>
      <c r="AE199">
        <f>Tableau1[[#This Row],[S2]]*Tableau1[[#This Row],[u2]]/(Tableau1[[#This Row],[S1]]*Tableau1[[#This Row],[u1]])*(1-Tableau1[[#This Row],[ALPHA]]^3)/(1-Tableau1[[#This Row],[ALPHA]]^4)</f>
        <v>0.62474010699911608</v>
      </c>
      <c r="AF199" s="1">
        <v>1</v>
      </c>
      <c r="AG199" s="1" t="s">
        <v>40</v>
      </c>
      <c r="AH199" t="s">
        <v>41</v>
      </c>
      <c r="AI199" t="s">
        <v>42</v>
      </c>
      <c r="AJ199" t="s">
        <v>42</v>
      </c>
      <c r="AK199">
        <v>31.1</v>
      </c>
      <c r="AL199">
        <v>32.700000000000003</v>
      </c>
      <c r="AM199">
        <v>1.682124404079623</v>
      </c>
    </row>
    <row r="200" spans="1:39" x14ac:dyDescent="0.25">
      <c r="A200" t="s">
        <v>242</v>
      </c>
      <c r="B200">
        <v>10</v>
      </c>
      <c r="C200">
        <v>24.999999999999996</v>
      </c>
      <c r="D200">
        <v>0.19</v>
      </c>
      <c r="E200">
        <v>65535</v>
      </c>
      <c r="F200">
        <v>0.87</v>
      </c>
      <c r="G200">
        <v>0.48</v>
      </c>
      <c r="H200" s="3">
        <f t="shared" si="2"/>
        <v>8.3300000000000005E-5</v>
      </c>
      <c r="I200">
        <v>1.5053083352157215E-2</v>
      </c>
      <c r="J200" s="3">
        <f t="shared" si="3"/>
        <v>8.3300000000000005E-5</v>
      </c>
      <c r="K200">
        <v>7.3429674888571776E-3</v>
      </c>
      <c r="L200">
        <v>6.0000000000000001E-3</v>
      </c>
      <c r="M200">
        <v>0.02</v>
      </c>
      <c r="N200" s="3">
        <f>Tableau1[[#This Row],[mH2]]/Tableau1[[#This Row],[rho1]]/(PI()*Tableau1[[#This Row],[d1]]^2/4)</f>
        <v>35.839854154109695</v>
      </c>
      <c r="O200">
        <f>Tableau1[[#This Row],[m2]]/Tableau1[[#This Row],[rho2]]/(PI()/4*(Tableau1[[#This Row],[d2]]^2-(Tableau1[[#This Row],[d1]]+2*0.001)^2))</f>
        <v>48.362720571037343</v>
      </c>
      <c r="P200">
        <v>4</v>
      </c>
      <c r="Q200" t="s">
        <v>165</v>
      </c>
      <c r="R200" s="3">
        <f>Tableau1[[#This Row],[rho1]]*Tableau1[[#This Row],[u1]]*Tableau1[[#This Row],[d1]]/0.0000089385</f>
        <v>1977.6035143189399</v>
      </c>
      <c r="S200">
        <f>Tableau1[[#This Row],[rho2]]*Tableau1[[#This Row],[u2]]*(Tableau1[[#This Row],[d2]]-(Tableau1[[#This Row],[d1]]+2*0.001))/0.0000184725</f>
        <v>37055.431808211259</v>
      </c>
      <c r="T20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0.47906543385490752</v>
      </c>
      <c r="U200">
        <f>Tableau1[[#This Row],[S2]]/Tableau1[[#This Row],[S1]]*SQRT(Tableau1[[#This Row],[rho1]]/Tableau1[[#This Row],[rho2]])*Tableau1[[#This Row],[J]]^(1/2)*Tableau1[[#This Row],[d2]]/Tableau1[[#This Row],[d1]]</f>
        <v>2.4275664965859103</v>
      </c>
      <c r="V200">
        <v>0.29577464788732394</v>
      </c>
      <c r="W200">
        <v>2.8301886792452827E-2</v>
      </c>
      <c r="X200">
        <v>8.2202757376980351E-2</v>
      </c>
      <c r="Y200">
        <v>1.1794664292299073</v>
      </c>
      <c r="Z200">
        <v>2.0099999999999998</v>
      </c>
      <c r="AA200">
        <v>28.84</v>
      </c>
      <c r="AB200">
        <f>Tableau1[[#This Row],[u2]]/Tableau1[[#This Row],[u1]]</f>
        <v>1.3494117571762405</v>
      </c>
      <c r="AC200">
        <f>ABS(Tableau1[[#This Row],[u2]]-Tableau1[[#This Row],[u1]])</f>
        <v>12.522866416927648</v>
      </c>
      <c r="AD200">
        <f>(Tableau1[[#This Row],[d1]]+0.002)/Tableau1[[#This Row],[d2]]</f>
        <v>0.4</v>
      </c>
      <c r="AE200">
        <f>Tableau1[[#This Row],[S2]]*Tableau1[[#This Row],[u2]]/(Tableau1[[#This Row],[S1]]*Tableau1[[#This Row],[u1]])*(1-Tableau1[[#This Row],[ALPHA]]^3)/(1-Tableau1[[#This Row],[ALPHA]]^4)</f>
        <v>0.71516301722267206</v>
      </c>
      <c r="AF200" s="1">
        <v>0</v>
      </c>
      <c r="AG200" s="1" t="s">
        <v>53</v>
      </c>
      <c r="AH200" t="s">
        <v>61</v>
      </c>
      <c r="AI200" t="s">
        <v>42</v>
      </c>
      <c r="AJ200" t="s">
        <v>42</v>
      </c>
      <c r="AK200">
        <v>1.1000000000000001</v>
      </c>
      <c r="AL200">
        <v>3</v>
      </c>
      <c r="AM200">
        <v>0.83017079838641905</v>
      </c>
    </row>
    <row r="201" spans="1:39" x14ac:dyDescent="0.25">
      <c r="A201" t="s">
        <v>243</v>
      </c>
      <c r="B201">
        <v>10</v>
      </c>
      <c r="C201">
        <v>24.999999999999996</v>
      </c>
      <c r="D201">
        <v>0.19</v>
      </c>
      <c r="E201">
        <v>65535</v>
      </c>
      <c r="F201">
        <v>0.87</v>
      </c>
      <c r="G201">
        <v>0.55999999999999994</v>
      </c>
      <c r="H201" s="3">
        <f t="shared" si="2"/>
        <v>8.3300000000000005E-5</v>
      </c>
      <c r="I201">
        <v>1.5053083352157215E-2</v>
      </c>
      <c r="J201" s="3">
        <f t="shared" si="3"/>
        <v>8.3300000000000005E-5</v>
      </c>
      <c r="K201">
        <v>8.566795403666708E-3</v>
      </c>
      <c r="L201">
        <v>6.0000000000000001E-3</v>
      </c>
      <c r="M201">
        <v>0.02</v>
      </c>
      <c r="N201" s="3">
        <f>Tableau1[[#This Row],[mH2]]/Tableau1[[#This Row],[rho1]]/(PI()*Tableau1[[#This Row],[d1]]^2/4)</f>
        <v>35.839854154109695</v>
      </c>
      <c r="O201">
        <f>Tableau1[[#This Row],[m2]]/Tableau1[[#This Row],[rho2]]/(PI()/4*(Tableau1[[#This Row],[d2]]^2-(Tableau1[[#This Row],[d1]]+2*0.001)^2))</f>
        <v>48.362720571037343</v>
      </c>
      <c r="P201">
        <v>4</v>
      </c>
      <c r="Q201" t="s">
        <v>165</v>
      </c>
      <c r="R201" s="3">
        <f>Tableau1[[#This Row],[rho1]]*Tableau1[[#This Row],[u1]]*Tableau1[[#This Row],[d1]]/0.0000089385</f>
        <v>1977.6035143189399</v>
      </c>
      <c r="S201">
        <f>Tableau1[[#This Row],[rho2]]*Tableau1[[#This Row],[u2]]*(Tableau1[[#This Row],[d2]]-(Tableau1[[#This Row],[d1]]+2*0.001))/0.0000184725</f>
        <v>37055.431808211259</v>
      </c>
      <c r="T20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0.55872403982930297</v>
      </c>
      <c r="U201">
        <f>Tableau1[[#This Row],[S2]]/Tableau1[[#This Row],[S1]]*SQRT(Tableau1[[#This Row],[rho1]]/Tableau1[[#This Row],[rho2]])*Tableau1[[#This Row],[J]]^(1/2)*Tableau1[[#This Row],[d2]]/Tableau1[[#This Row],[d1]]</f>
        <v>2.8321609126835625</v>
      </c>
      <c r="V201">
        <v>0.29577464788732394</v>
      </c>
      <c r="W201">
        <v>2.8301886792452827E-2</v>
      </c>
      <c r="X201">
        <v>8.2202757376980351E-2</v>
      </c>
      <c r="Y201">
        <v>1.1794664292299073</v>
      </c>
      <c r="Z201">
        <v>2.0099999999999998</v>
      </c>
      <c r="AA201">
        <v>28.84</v>
      </c>
      <c r="AB201">
        <f>Tableau1[[#This Row],[u2]]/Tableau1[[#This Row],[u1]]</f>
        <v>1.3494117571762405</v>
      </c>
      <c r="AC201">
        <f>ABS(Tableau1[[#This Row],[u2]]-Tableau1[[#This Row],[u1]])</f>
        <v>12.522866416927648</v>
      </c>
      <c r="AD201">
        <f>(Tableau1[[#This Row],[d1]]+0.002)/Tableau1[[#This Row],[d2]]</f>
        <v>0.4</v>
      </c>
      <c r="AE201">
        <f>Tableau1[[#This Row],[S2]]*Tableau1[[#This Row],[u2]]/(Tableau1[[#This Row],[S1]]*Tableau1[[#This Row],[u1]])*(1-Tableau1[[#This Row],[ALPHA]]^3)/(1-Tableau1[[#This Row],[ALPHA]]^4)</f>
        <v>0.8343568534264505</v>
      </c>
      <c r="AF201" s="1">
        <v>0</v>
      </c>
      <c r="AG201" s="1" t="s">
        <v>58</v>
      </c>
      <c r="AH201" t="s">
        <v>59</v>
      </c>
      <c r="AI201" t="s">
        <v>42</v>
      </c>
      <c r="AJ201" t="s">
        <v>42</v>
      </c>
      <c r="AK201">
        <v>1.2</v>
      </c>
      <c r="AL201">
        <v>3.7</v>
      </c>
      <c r="AM201">
        <v>1.023877318009917</v>
      </c>
    </row>
    <row r="202" spans="1:39" x14ac:dyDescent="0.25">
      <c r="A202" t="s">
        <v>244</v>
      </c>
      <c r="B202">
        <v>10</v>
      </c>
      <c r="C202">
        <v>11.111111111111111</v>
      </c>
      <c r="D202">
        <v>0.28999999999999998</v>
      </c>
      <c r="E202">
        <v>65535</v>
      </c>
      <c r="F202">
        <v>0.87</v>
      </c>
      <c r="G202">
        <v>0.48</v>
      </c>
      <c r="H202" s="3">
        <f t="shared" si="2"/>
        <v>8.3300000000000005E-5</v>
      </c>
      <c r="I202">
        <v>9.862364954861624E-3</v>
      </c>
      <c r="J202" s="3">
        <f t="shared" si="3"/>
        <v>8.3300000000000005E-5</v>
      </c>
      <c r="K202">
        <v>4.8109097340788406E-3</v>
      </c>
      <c r="L202">
        <v>6.0000000000000001E-3</v>
      </c>
      <c r="M202">
        <v>0.02</v>
      </c>
      <c r="N202" s="3">
        <f>Tableau1[[#This Row],[mH2]]/Tableau1[[#This Row],[rho1]]/(PI()*Tableau1[[#This Row],[d1]]^2/4)</f>
        <v>35.839854154109695</v>
      </c>
      <c r="O202">
        <f>Tableau1[[#This Row],[m2]]/Tableau1[[#This Row],[rho2]]/(PI()/4*(Tableau1[[#This Row],[d2]]^2-(Tableau1[[#This Row],[d1]]+2*0.001)^2))</f>
        <v>31.685920374127917</v>
      </c>
      <c r="P202">
        <v>4</v>
      </c>
      <c r="Q202" t="s">
        <v>165</v>
      </c>
      <c r="R202" s="3">
        <f>Tableau1[[#This Row],[rho1]]*Tableau1[[#This Row],[u1]]*Tableau1[[#This Row],[d1]]/0.0000089385</f>
        <v>1977.6035143189399</v>
      </c>
      <c r="S202">
        <f>Tableau1[[#This Row],[rho2]]*Tableau1[[#This Row],[u2]]*(Tableau1[[#This Row],[d2]]-(Tableau1[[#This Row],[d1]]+2*0.001))/0.0000184725</f>
        <v>24277.696701931513</v>
      </c>
      <c r="T20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0.47790838344534842</v>
      </c>
      <c r="U202">
        <f>Tableau1[[#This Row],[S2]]/Tableau1[[#This Row],[S1]]*SQRT(Tableau1[[#This Row],[rho1]]/Tableau1[[#This Row],[rho2]])*Tableau1[[#This Row],[J]]^(1/2)*Tableau1[[#This Row],[d2]]/Tableau1[[#This Row],[d1]]</f>
        <v>1.6183776643906069</v>
      </c>
      <c r="V202">
        <v>0.29577464788732394</v>
      </c>
      <c r="W202">
        <v>2.8301886792452827E-2</v>
      </c>
      <c r="X202">
        <v>8.2202757376980351E-2</v>
      </c>
      <c r="Y202">
        <v>1.1794664292299073</v>
      </c>
      <c r="Z202">
        <v>2.0099999999999998</v>
      </c>
      <c r="AA202">
        <v>28.84</v>
      </c>
      <c r="AB202">
        <f>Tableau1[[#This Row],[u2]]/Tableau1[[#This Row],[u1]]</f>
        <v>0.88409735814995072</v>
      </c>
      <c r="AC202">
        <f>ABS(Tableau1[[#This Row],[u2]]-Tableau1[[#This Row],[u1]])</f>
        <v>4.1539337799817773</v>
      </c>
      <c r="AD202">
        <f>(Tableau1[[#This Row],[d1]]+0.002)/Tableau1[[#This Row],[d2]]</f>
        <v>0.4</v>
      </c>
      <c r="AE202">
        <f>Tableau1[[#This Row],[S2]]*Tableau1[[#This Row],[u2]]/(Tableau1[[#This Row],[S1]]*Tableau1[[#This Row],[u1]])*(1-Tableau1[[#This Row],[ALPHA]]^3)/(1-Tableau1[[#This Row],[ALPHA]]^4)</f>
        <v>0.4685550802493369</v>
      </c>
      <c r="AF202" s="1">
        <v>0</v>
      </c>
      <c r="AG202" s="1" t="s">
        <v>53</v>
      </c>
      <c r="AH202" t="s">
        <v>61</v>
      </c>
      <c r="AI202" t="s">
        <v>42</v>
      </c>
      <c r="AJ202" t="s">
        <v>42</v>
      </c>
      <c r="AK202">
        <v>2.8</v>
      </c>
      <c r="AL202">
        <v>10.9</v>
      </c>
      <c r="AM202">
        <v>1.9329431696460664</v>
      </c>
    </row>
    <row r="203" spans="1:39" x14ac:dyDescent="0.25">
      <c r="A203" t="s">
        <v>245</v>
      </c>
      <c r="B203">
        <v>10</v>
      </c>
      <c r="C203">
        <v>11.111111111111111</v>
      </c>
      <c r="D203">
        <v>0.28999999999999998</v>
      </c>
      <c r="E203">
        <v>65535</v>
      </c>
      <c r="F203">
        <v>0.87</v>
      </c>
      <c r="G203">
        <v>0.55999999999999994</v>
      </c>
      <c r="H203" s="3">
        <f t="shared" si="2"/>
        <v>8.3300000000000005E-5</v>
      </c>
      <c r="I203">
        <v>9.862364954861624E-3</v>
      </c>
      <c r="J203" s="3">
        <f t="shared" si="3"/>
        <v>8.3300000000000005E-5</v>
      </c>
      <c r="K203">
        <v>5.6127280230919814E-3</v>
      </c>
      <c r="L203">
        <v>6.0000000000000001E-3</v>
      </c>
      <c r="M203">
        <v>0.02</v>
      </c>
      <c r="N203" s="3">
        <f>Tableau1[[#This Row],[mH2]]/Tableau1[[#This Row],[rho1]]/(PI()*Tableau1[[#This Row],[d1]]^2/4)</f>
        <v>35.839854154109695</v>
      </c>
      <c r="O203">
        <f>Tableau1[[#This Row],[m2]]/Tableau1[[#This Row],[rho2]]/(PI()/4*(Tableau1[[#This Row],[d2]]^2-(Tableau1[[#This Row],[d1]]+2*0.001)^2))</f>
        <v>31.685920374127917</v>
      </c>
      <c r="P203">
        <v>4</v>
      </c>
      <c r="Q203" t="s">
        <v>165</v>
      </c>
      <c r="R203" s="3">
        <f>Tableau1[[#This Row],[rho1]]*Tableau1[[#This Row],[u1]]*Tableau1[[#This Row],[d1]]/0.0000089385</f>
        <v>1977.6035143189399</v>
      </c>
      <c r="S203">
        <f>Tableau1[[#This Row],[rho2]]*Tableau1[[#This Row],[u2]]*(Tableau1[[#This Row],[d2]]-(Tableau1[[#This Row],[d1]]+2*0.001))/0.0000184725</f>
        <v>24277.696701931513</v>
      </c>
      <c r="T20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0.55714432260346647</v>
      </c>
      <c r="U203">
        <f>Tableau1[[#This Row],[S2]]/Tableau1[[#This Row],[S1]]*SQRT(Tableau1[[#This Row],[rho1]]/Tableau1[[#This Row],[rho2]])*Tableau1[[#This Row],[J]]^(1/2)*Tableau1[[#This Row],[d2]]/Tableau1[[#This Row],[d1]]</f>
        <v>1.8881072751223749</v>
      </c>
      <c r="V203">
        <v>0.29577464788732394</v>
      </c>
      <c r="W203">
        <v>2.8301886792452827E-2</v>
      </c>
      <c r="X203">
        <v>8.2202757376980351E-2</v>
      </c>
      <c r="Y203">
        <v>1.1794664292299073</v>
      </c>
      <c r="Z203">
        <v>2.0099999999999998</v>
      </c>
      <c r="AA203">
        <v>28.84</v>
      </c>
      <c r="AB203">
        <f>Tableau1[[#This Row],[u2]]/Tableau1[[#This Row],[u1]]</f>
        <v>0.88409735814995072</v>
      </c>
      <c r="AC203">
        <f>ABS(Tableau1[[#This Row],[u2]]-Tableau1[[#This Row],[u1]])</f>
        <v>4.1539337799817773</v>
      </c>
      <c r="AD203">
        <f>(Tableau1[[#This Row],[d1]]+0.002)/Tableau1[[#This Row],[d2]]</f>
        <v>0.4</v>
      </c>
      <c r="AE203">
        <f>Tableau1[[#This Row],[S2]]*Tableau1[[#This Row],[u2]]/(Tableau1[[#This Row],[S1]]*Tableau1[[#This Row],[u1]])*(1-Tableau1[[#This Row],[ALPHA]]^3)/(1-Tableau1[[#This Row],[ALPHA]]^4)</f>
        <v>0.54664759362422632</v>
      </c>
      <c r="AF203" s="1">
        <v>0</v>
      </c>
      <c r="AG203" s="1" t="s">
        <v>53</v>
      </c>
      <c r="AH203" t="s">
        <v>61</v>
      </c>
      <c r="AI203" t="s">
        <v>42</v>
      </c>
      <c r="AJ203" t="s">
        <v>42</v>
      </c>
      <c r="AK203">
        <v>3.1</v>
      </c>
      <c r="AL203">
        <v>9.8000000000000007</v>
      </c>
      <c r="AM203">
        <v>1.7378755103239865</v>
      </c>
    </row>
    <row r="204" spans="1:39" x14ac:dyDescent="0.25">
      <c r="A204" t="s">
        <v>246</v>
      </c>
      <c r="B204">
        <v>10</v>
      </c>
      <c r="C204">
        <v>11.111111111111111</v>
      </c>
      <c r="D204">
        <v>0.28999999999999998</v>
      </c>
      <c r="E204">
        <v>65535</v>
      </c>
      <c r="F204">
        <v>0.87</v>
      </c>
      <c r="G204">
        <v>0.64000000000000012</v>
      </c>
      <c r="H204" s="3">
        <f t="shared" si="2"/>
        <v>8.3300000000000005E-5</v>
      </c>
      <c r="I204">
        <v>9.862364954861624E-3</v>
      </c>
      <c r="J204" s="3">
        <f t="shared" si="3"/>
        <v>8.3300000000000005E-5</v>
      </c>
      <c r="K204">
        <v>6.4145463121051214E-3</v>
      </c>
      <c r="L204">
        <v>6.0000000000000001E-3</v>
      </c>
      <c r="M204">
        <v>0.02</v>
      </c>
      <c r="N204" s="3">
        <f>Tableau1[[#This Row],[mH2]]/Tableau1[[#This Row],[rho1]]/(PI()*Tableau1[[#This Row],[d1]]^2/4)</f>
        <v>35.839854154109695</v>
      </c>
      <c r="O204">
        <f>Tableau1[[#This Row],[m2]]/Tableau1[[#This Row],[rho2]]/(PI()/4*(Tableau1[[#This Row],[d2]]^2-(Tableau1[[#This Row],[d1]]+2*0.001)^2))</f>
        <v>31.685920374127917</v>
      </c>
      <c r="P204">
        <v>4</v>
      </c>
      <c r="Q204" t="s">
        <v>165</v>
      </c>
      <c r="R204" s="3">
        <f>Tableau1[[#This Row],[rho1]]*Tableau1[[#This Row],[u1]]*Tableau1[[#This Row],[d1]]/0.0000089385</f>
        <v>1977.6035143189399</v>
      </c>
      <c r="S204">
        <f>Tableau1[[#This Row],[rho2]]*Tableau1[[#This Row],[u2]]*(Tableau1[[#This Row],[d2]]-(Tableau1[[#This Row],[d1]]+2*0.001))/0.0000184725</f>
        <v>24277.696701931513</v>
      </c>
      <c r="T20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0.6363802617615848</v>
      </c>
      <c r="U204">
        <f>Tableau1[[#This Row],[S2]]/Tableau1[[#This Row],[S1]]*SQRT(Tableau1[[#This Row],[rho1]]/Tableau1[[#This Row],[rho2]])*Tableau1[[#This Row],[J]]^(1/2)*Tableau1[[#This Row],[d2]]/Tableau1[[#This Row],[d1]]</f>
        <v>2.157836885854143</v>
      </c>
      <c r="V204">
        <v>0.29577464788732394</v>
      </c>
      <c r="W204">
        <v>2.8301886792452827E-2</v>
      </c>
      <c r="X204">
        <v>8.2202757376980351E-2</v>
      </c>
      <c r="Y204">
        <v>1.1794664292299073</v>
      </c>
      <c r="Z204">
        <v>2.0099999999999998</v>
      </c>
      <c r="AA204">
        <v>28.84</v>
      </c>
      <c r="AB204">
        <f>Tableau1[[#This Row],[u2]]/Tableau1[[#This Row],[u1]]</f>
        <v>0.88409735814995072</v>
      </c>
      <c r="AC204">
        <f>ABS(Tableau1[[#This Row],[u2]]-Tableau1[[#This Row],[u1]])</f>
        <v>4.1539337799817773</v>
      </c>
      <c r="AD204">
        <f>(Tableau1[[#This Row],[d1]]+0.002)/Tableau1[[#This Row],[d2]]</f>
        <v>0.4</v>
      </c>
      <c r="AE204">
        <f>Tableau1[[#This Row],[S2]]*Tableau1[[#This Row],[u2]]/(Tableau1[[#This Row],[S1]]*Tableau1[[#This Row],[u1]])*(1-Tableau1[[#This Row],[ALPHA]]^3)/(1-Tableau1[[#This Row],[ALPHA]]^4)</f>
        <v>0.62474010699911586</v>
      </c>
      <c r="AF204" s="1">
        <v>1</v>
      </c>
      <c r="AG204" s="1" t="s">
        <v>40</v>
      </c>
      <c r="AH204" t="s">
        <v>47</v>
      </c>
      <c r="AI204" t="s">
        <v>42</v>
      </c>
      <c r="AJ204" t="s">
        <v>42</v>
      </c>
      <c r="AK204">
        <v>2.8</v>
      </c>
      <c r="AL204">
        <v>7.3</v>
      </c>
      <c r="AM204">
        <v>1.2945399209556223</v>
      </c>
    </row>
    <row r="205" spans="1:39" x14ac:dyDescent="0.25">
      <c r="A205" t="s">
        <v>247</v>
      </c>
      <c r="B205">
        <v>10</v>
      </c>
      <c r="C205">
        <v>6.2499999999999991</v>
      </c>
      <c r="D205">
        <v>0.39</v>
      </c>
      <c r="E205">
        <v>65535</v>
      </c>
      <c r="F205">
        <v>0.87</v>
      </c>
      <c r="G205">
        <v>0.48</v>
      </c>
      <c r="H205" s="3">
        <f t="shared" si="2"/>
        <v>8.3300000000000005E-5</v>
      </c>
      <c r="I205">
        <v>7.3335534279740282E-3</v>
      </c>
      <c r="J205" s="3">
        <f t="shared" si="3"/>
        <v>8.3300000000000005E-5</v>
      </c>
      <c r="K205">
        <v>3.5773431355970867E-3</v>
      </c>
      <c r="L205">
        <v>6.0000000000000001E-3</v>
      </c>
      <c r="M205">
        <v>0.02</v>
      </c>
      <c r="N205" s="3">
        <f>Tableau1[[#This Row],[mH2]]/Tableau1[[#This Row],[rho1]]/(PI()*Tableau1[[#This Row],[d1]]^2/4)</f>
        <v>35.839854154109695</v>
      </c>
      <c r="O205">
        <f>Tableau1[[#This Row],[m2]]/Tableau1[[#This Row],[rho2]]/(PI()/4*(Tableau1[[#This Row],[d2]]^2-(Tableau1[[#This Row],[d1]]+2*0.001)^2))</f>
        <v>23.561325406402812</v>
      </c>
      <c r="P205">
        <v>4</v>
      </c>
      <c r="Q205" t="s">
        <v>165</v>
      </c>
      <c r="R205" s="3">
        <f>Tableau1[[#This Row],[rho1]]*Tableau1[[#This Row],[u1]]*Tableau1[[#This Row],[d1]]/0.0000089385</f>
        <v>1977.6035143189399</v>
      </c>
      <c r="S205">
        <f>Tableau1[[#This Row],[rho2]]*Tableau1[[#This Row],[u2]]*(Tableau1[[#This Row],[d2]]-(Tableau1[[#This Row],[d1]]+2*0.001))/0.0000184725</f>
        <v>18052.64626553882</v>
      </c>
      <c r="T20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0.47630898876404493</v>
      </c>
      <c r="U205">
        <f>Tableau1[[#This Row],[S2]]/Tableau1[[#This Row],[S1]]*SQRT(Tableau1[[#This Row],[rho1]]/Tableau1[[#This Row],[rho2]])*Tableau1[[#This Row],[J]]^(1/2)*Tableau1[[#This Row],[d2]]/Tableau1[[#This Row],[d1]]</f>
        <v>1.2137832482929551</v>
      </c>
      <c r="V205">
        <v>0.29577464788732394</v>
      </c>
      <c r="W205">
        <v>2.8301886792452827E-2</v>
      </c>
      <c r="X205">
        <v>8.2202757376980351E-2</v>
      </c>
      <c r="Y205">
        <v>1.1794664292299073</v>
      </c>
      <c r="Z205">
        <v>2.0099999999999998</v>
      </c>
      <c r="AA205">
        <v>28.84</v>
      </c>
      <c r="AB205">
        <f>Tableau1[[#This Row],[u2]]/Tableau1[[#This Row],[u1]]</f>
        <v>0.65740572785509155</v>
      </c>
      <c r="AC205">
        <f>ABS(Tableau1[[#This Row],[u2]]-Tableau1[[#This Row],[u1]])</f>
        <v>12.278528747706883</v>
      </c>
      <c r="AD205">
        <f>(Tableau1[[#This Row],[d1]]+0.002)/Tableau1[[#This Row],[d2]]</f>
        <v>0.4</v>
      </c>
      <c r="AE205">
        <f>Tableau1[[#This Row],[S2]]*Tableau1[[#This Row],[u2]]/(Tableau1[[#This Row],[S1]]*Tableau1[[#This Row],[u1]])*(1-Tableau1[[#This Row],[ALPHA]]^3)/(1-Tableau1[[#This Row],[ALPHA]]^4)</f>
        <v>0.34841275198027616</v>
      </c>
      <c r="AF205" s="1">
        <v>0</v>
      </c>
      <c r="AG205" s="1" t="s">
        <v>53</v>
      </c>
      <c r="AH205" t="s">
        <v>61</v>
      </c>
      <c r="AI205" t="s">
        <v>42</v>
      </c>
      <c r="AJ205" t="s">
        <v>42</v>
      </c>
      <c r="AK205">
        <v>20.7</v>
      </c>
      <c r="AL205">
        <v>23.3</v>
      </c>
      <c r="AM205">
        <v>3.0036911837274411</v>
      </c>
    </row>
    <row r="206" spans="1:39" x14ac:dyDescent="0.25">
      <c r="A206" t="s">
        <v>248</v>
      </c>
      <c r="B206">
        <v>10</v>
      </c>
      <c r="C206">
        <v>6.2499999999999991</v>
      </c>
      <c r="D206">
        <v>0.39</v>
      </c>
      <c r="E206">
        <v>65535</v>
      </c>
      <c r="F206">
        <v>0.87</v>
      </c>
      <c r="G206">
        <v>0.55999999999999994</v>
      </c>
      <c r="H206" s="3">
        <f t="shared" si="2"/>
        <v>8.3300000000000005E-5</v>
      </c>
      <c r="I206">
        <v>7.3335534279740282E-3</v>
      </c>
      <c r="J206" s="3">
        <f t="shared" si="3"/>
        <v>8.3300000000000005E-5</v>
      </c>
      <c r="K206">
        <v>4.1735669915299346E-3</v>
      </c>
      <c r="L206">
        <v>6.0000000000000001E-3</v>
      </c>
      <c r="M206">
        <v>0.02</v>
      </c>
      <c r="N206" s="3">
        <f>Tableau1[[#This Row],[mH2]]/Tableau1[[#This Row],[rho1]]/(PI()*Tableau1[[#This Row],[d1]]^2/4)</f>
        <v>35.839854154109695</v>
      </c>
      <c r="O206">
        <f>Tableau1[[#This Row],[m2]]/Tableau1[[#This Row],[rho2]]/(PI()/4*(Tableau1[[#This Row],[d2]]^2-(Tableau1[[#This Row],[d1]]+2*0.001)^2))</f>
        <v>23.561325406402812</v>
      </c>
      <c r="P206">
        <v>4</v>
      </c>
      <c r="Q206" t="s">
        <v>165</v>
      </c>
      <c r="R206" s="3">
        <f>Tableau1[[#This Row],[rho1]]*Tableau1[[#This Row],[u1]]*Tableau1[[#This Row],[d1]]/0.0000089385</f>
        <v>1977.6035143189399</v>
      </c>
      <c r="S206">
        <f>Tableau1[[#This Row],[rho2]]*Tableau1[[#This Row],[u2]]*(Tableau1[[#This Row],[d2]]-(Tableau1[[#This Row],[d1]]+2*0.001))/0.0000184725</f>
        <v>18052.64626553882</v>
      </c>
      <c r="T20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0.55496067415730332</v>
      </c>
      <c r="U206">
        <f>Tableau1[[#This Row],[S2]]/Tableau1[[#This Row],[S1]]*SQRT(Tableau1[[#This Row],[rho1]]/Tableau1[[#This Row],[rho2]])*Tableau1[[#This Row],[J]]^(1/2)*Tableau1[[#This Row],[d2]]/Tableau1[[#This Row],[d1]]</f>
        <v>1.4160804563417813</v>
      </c>
      <c r="V206">
        <v>0.29577464788732394</v>
      </c>
      <c r="W206">
        <v>2.8301886792452827E-2</v>
      </c>
      <c r="X206">
        <v>8.2202757376980351E-2</v>
      </c>
      <c r="Y206">
        <v>1.1794664292299073</v>
      </c>
      <c r="Z206">
        <v>2.0099999999999998</v>
      </c>
      <c r="AA206">
        <v>28.84</v>
      </c>
      <c r="AB206">
        <f>Tableau1[[#This Row],[u2]]/Tableau1[[#This Row],[u1]]</f>
        <v>0.65740572785509155</v>
      </c>
      <c r="AC206">
        <f>ABS(Tableau1[[#This Row],[u2]]-Tableau1[[#This Row],[u1]])</f>
        <v>12.278528747706883</v>
      </c>
      <c r="AD206">
        <f>(Tableau1[[#This Row],[d1]]+0.002)/Tableau1[[#This Row],[d2]]</f>
        <v>0.4</v>
      </c>
      <c r="AE206">
        <f>Tableau1[[#This Row],[S2]]*Tableau1[[#This Row],[u2]]/(Tableau1[[#This Row],[S1]]*Tableau1[[#This Row],[u1]])*(1-Tableau1[[#This Row],[ALPHA]]^3)/(1-Tableau1[[#This Row],[ALPHA]]^4)</f>
        <v>0.40648154397698882</v>
      </c>
      <c r="AF206" s="1">
        <v>0</v>
      </c>
      <c r="AG206" s="1" t="s">
        <v>53</v>
      </c>
      <c r="AH206" t="s">
        <v>61</v>
      </c>
      <c r="AI206" t="s">
        <v>42</v>
      </c>
      <c r="AJ206" t="s">
        <v>42</v>
      </c>
      <c r="AK206">
        <v>17.7</v>
      </c>
      <c r="AL206">
        <v>19.3</v>
      </c>
      <c r="AM206">
        <v>2.4880360448901118</v>
      </c>
    </row>
    <row r="207" spans="1:39" x14ac:dyDescent="0.25">
      <c r="A207" t="s">
        <v>204</v>
      </c>
      <c r="B207">
        <v>10</v>
      </c>
      <c r="C207">
        <v>11.111111111111111</v>
      </c>
      <c r="D207">
        <v>0.28999999999999998</v>
      </c>
      <c r="E207">
        <v>65535</v>
      </c>
      <c r="F207">
        <v>0</v>
      </c>
      <c r="G207">
        <v>0.64000000000000012</v>
      </c>
      <c r="H207" s="3">
        <f t="shared" si="2"/>
        <v>8.3300000000000005E-5</v>
      </c>
      <c r="I207">
        <v>9.862364954861624E-3</v>
      </c>
      <c r="J207" s="3">
        <f t="shared" si="3"/>
        <v>8.3300000000000005E-5</v>
      </c>
      <c r="K207">
        <v>6.4145463121051214E-3</v>
      </c>
      <c r="L207">
        <v>6.0000000000000001E-3</v>
      </c>
      <c r="M207">
        <v>0.02</v>
      </c>
      <c r="N207" s="3">
        <f>Tableau1[[#This Row],[mH2]]/Tableau1[[#This Row],[rho1]]/(PI()*Tableau1[[#This Row],[d1]]^2/4)</f>
        <v>35.839854154109695</v>
      </c>
      <c r="O207">
        <f>Tableau1[[#This Row],[m2]]/Tableau1[[#This Row],[rho2]]/(PI()/4*(Tableau1[[#This Row],[d2]]^2-(Tableau1[[#This Row],[d1]]+2*0.001)^2))</f>
        <v>31.685920374127917</v>
      </c>
      <c r="P207">
        <v>4</v>
      </c>
      <c r="Q207" t="s">
        <v>165</v>
      </c>
      <c r="R207" s="3">
        <f>Tableau1[[#This Row],[rho1]]*Tableau1[[#This Row],[u1]]*Tableau1[[#This Row],[d1]]/0.0000089385</f>
        <v>1977.6035143189399</v>
      </c>
      <c r="S207">
        <f>Tableau1[[#This Row],[rho2]]*Tableau1[[#This Row],[u2]]*(Tableau1[[#This Row],[d2]]-(Tableau1[[#This Row],[d1]]+2*0.001))/0.0000184725</f>
        <v>24277.696701931513</v>
      </c>
      <c r="T20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0.6338875132649453</v>
      </c>
      <c r="U207" t="e">
        <f>Tableau1[[#This Row],[S2]]/Tableau1[[#This Row],[S1]]*SQRT(Tableau1[[#This Row],[rho1]]/Tableau1[[#This Row],[rho2]])*Tableau1[[#This Row],[J]]^(1/2)*Tableau1[[#This Row],[d2]]/Tableau1[[#This Row],[d1]]</f>
        <v>#DIV/0!</v>
      </c>
      <c r="V207">
        <v>0.29577464788732394</v>
      </c>
      <c r="W207">
        <v>2.8301886792452827E-2</v>
      </c>
      <c r="X207">
        <v>8.2202757376980351E-2</v>
      </c>
      <c r="Y207">
        <v>1.1794664292299073</v>
      </c>
      <c r="Z207">
        <v>2.0099999999999998</v>
      </c>
      <c r="AA207">
        <v>28.84</v>
      </c>
      <c r="AB207">
        <f>Tableau1[[#This Row],[u2]]/Tableau1[[#This Row],[u1]]</f>
        <v>0.88409735814995072</v>
      </c>
      <c r="AC207">
        <f>ABS(Tableau1[[#This Row],[u2]]-Tableau1[[#This Row],[u1]])</f>
        <v>4.1539337799817773</v>
      </c>
      <c r="AD207">
        <f>(Tableau1[[#This Row],[d1]]+0.002)/Tableau1[[#This Row],[d2]]</f>
        <v>0.4</v>
      </c>
      <c r="AE207" t="e">
        <f>Tableau1[[#This Row],[S2]]*Tableau1[[#This Row],[u2]]/(Tableau1[[#This Row],[S1]]*Tableau1[[#This Row],[u1]])*(1-Tableau1[[#This Row],[ALPHA]]^3)/(1-Tableau1[[#This Row],[ALPHA]]^4)</f>
        <v>#DIV/0!</v>
      </c>
      <c r="AF207" s="1">
        <v>1</v>
      </c>
      <c r="AG207" s="1" t="s">
        <v>40</v>
      </c>
      <c r="AH207" t="s">
        <v>41</v>
      </c>
      <c r="AI207" t="s">
        <v>42</v>
      </c>
      <c r="AJ207" t="s">
        <v>42</v>
      </c>
      <c r="AK207">
        <v>4</v>
      </c>
      <c r="AL207">
        <v>9</v>
      </c>
      <c r="AM207">
        <v>1.59600812172611</v>
      </c>
    </row>
    <row r="208" spans="1:39" x14ac:dyDescent="0.25">
      <c r="A208" t="s">
        <v>249</v>
      </c>
      <c r="B208">
        <v>10</v>
      </c>
      <c r="C208">
        <v>6.2499999999999991</v>
      </c>
      <c r="D208">
        <v>0.39</v>
      </c>
      <c r="E208">
        <v>65535</v>
      </c>
      <c r="F208">
        <v>0.87</v>
      </c>
      <c r="G208">
        <v>0.64000000000000012</v>
      </c>
      <c r="H208" s="3">
        <f t="shared" si="2"/>
        <v>8.3300000000000005E-5</v>
      </c>
      <c r="I208">
        <v>7.3335534279740282E-3</v>
      </c>
      <c r="J208" s="3">
        <f t="shared" si="3"/>
        <v>8.3300000000000005E-5</v>
      </c>
      <c r="K208">
        <v>4.7697908474627834E-3</v>
      </c>
      <c r="L208">
        <v>6.0000000000000001E-3</v>
      </c>
      <c r="M208">
        <v>0.02</v>
      </c>
      <c r="N208" s="3">
        <f>Tableau1[[#This Row],[mH2]]/Tableau1[[#This Row],[rho1]]/(PI()*Tableau1[[#This Row],[d1]]^2/4)</f>
        <v>35.839854154109695</v>
      </c>
      <c r="O208">
        <f>Tableau1[[#This Row],[m2]]/Tableau1[[#This Row],[rho2]]/(PI()/4*(Tableau1[[#This Row],[d2]]^2-(Tableau1[[#This Row],[d1]]+2*0.001)^2))</f>
        <v>23.561325406402812</v>
      </c>
      <c r="P208">
        <v>4</v>
      </c>
      <c r="Q208" t="s">
        <v>165</v>
      </c>
      <c r="R208" s="3">
        <f>Tableau1[[#This Row],[rho1]]*Tableau1[[#This Row],[u1]]*Tableau1[[#This Row],[d1]]/0.0000089385</f>
        <v>1977.6035143189399</v>
      </c>
      <c r="S208">
        <f>Tableau1[[#This Row],[rho2]]*Tableau1[[#This Row],[u2]]*(Tableau1[[#This Row],[d2]]-(Tableau1[[#This Row],[d1]]+2*0.001))/0.0000184725</f>
        <v>18052.64626553882</v>
      </c>
      <c r="T20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0.63361235955056194</v>
      </c>
      <c r="U208">
        <f>Tableau1[[#This Row],[S2]]/Tableau1[[#This Row],[S1]]*SQRT(Tableau1[[#This Row],[rho1]]/Tableau1[[#This Row],[rho2]])*Tableau1[[#This Row],[J]]^(1/2)*Tableau1[[#This Row],[d2]]/Tableau1[[#This Row],[d1]]</f>
        <v>1.6183776643906072</v>
      </c>
      <c r="V208">
        <v>0.29577464788732394</v>
      </c>
      <c r="W208">
        <v>2.8301886792452827E-2</v>
      </c>
      <c r="X208">
        <v>8.2202757376980351E-2</v>
      </c>
      <c r="Y208">
        <v>1.1794664292299073</v>
      </c>
      <c r="Z208">
        <v>2.0099999999999998</v>
      </c>
      <c r="AA208">
        <v>28.84</v>
      </c>
      <c r="AB208">
        <f>Tableau1[[#This Row],[u2]]/Tableau1[[#This Row],[u1]]</f>
        <v>0.65740572785509155</v>
      </c>
      <c r="AC208">
        <f>ABS(Tableau1[[#This Row],[u2]]-Tableau1[[#This Row],[u1]])</f>
        <v>12.278528747706883</v>
      </c>
      <c r="AD208">
        <f>(Tableau1[[#This Row],[d1]]+0.002)/Tableau1[[#This Row],[d2]]</f>
        <v>0.4</v>
      </c>
      <c r="AE208">
        <f>Tableau1[[#This Row],[S2]]*Tableau1[[#This Row],[u2]]/(Tableau1[[#This Row],[S1]]*Tableau1[[#This Row],[u1]])*(1-Tableau1[[#This Row],[ALPHA]]^3)/(1-Tableau1[[#This Row],[ALPHA]]^4)</f>
        <v>0.46455033597370166</v>
      </c>
      <c r="AF208" s="1">
        <v>1</v>
      </c>
      <c r="AG208" s="1" t="s">
        <v>40</v>
      </c>
      <c r="AH208" t="s">
        <v>47</v>
      </c>
      <c r="AI208" t="s">
        <v>42</v>
      </c>
      <c r="AJ208" t="s">
        <v>42</v>
      </c>
      <c r="AK208">
        <v>11.6</v>
      </c>
      <c r="AL208">
        <v>12</v>
      </c>
      <c r="AM208">
        <v>1.5469654165119868</v>
      </c>
    </row>
    <row r="209" spans="1:39" x14ac:dyDescent="0.25">
      <c r="A209" t="s">
        <v>250</v>
      </c>
      <c r="B209">
        <v>10</v>
      </c>
      <c r="C209">
        <v>4</v>
      </c>
      <c r="D209">
        <v>0.48</v>
      </c>
      <c r="E209">
        <v>65535</v>
      </c>
      <c r="F209">
        <v>0.87</v>
      </c>
      <c r="G209">
        <v>0.48</v>
      </c>
      <c r="H209" s="3">
        <f t="shared" si="2"/>
        <v>8.3300000000000005E-5</v>
      </c>
      <c r="I209">
        <v>5.9585121602288987E-3</v>
      </c>
      <c r="J209" s="3">
        <f t="shared" si="3"/>
        <v>8.3300000000000005E-5</v>
      </c>
      <c r="K209">
        <v>2.9065912976726335E-3</v>
      </c>
      <c r="L209">
        <v>6.0000000000000001E-3</v>
      </c>
      <c r="M209">
        <v>0.02</v>
      </c>
      <c r="N209" s="3">
        <f>Tableau1[[#This Row],[mH2]]/Tableau1[[#This Row],[rho1]]/(PI()*Tableau1[[#This Row],[d1]]^2/4)</f>
        <v>35.839854154109695</v>
      </c>
      <c r="O209">
        <f>Tableau1[[#This Row],[m2]]/Tableau1[[#This Row],[rho2]]/(PI()/4*(Tableau1[[#This Row],[d2]]^2-(Tableau1[[#This Row],[d1]]+2*0.001)^2))</f>
        <v>19.143576892702285</v>
      </c>
      <c r="P209">
        <v>4</v>
      </c>
      <c r="Q209" t="s">
        <v>165</v>
      </c>
      <c r="R209" s="3">
        <f>Tableau1[[#This Row],[rho1]]*Tableau1[[#This Row],[u1]]*Tableau1[[#This Row],[d1]]/0.0000089385</f>
        <v>1977.6035143189399</v>
      </c>
      <c r="S209">
        <f>Tableau1[[#This Row],[rho2]]*Tableau1[[#This Row],[u2]]*(Tableau1[[#This Row],[d2]]-(Tableau1[[#This Row],[d1]]+2*0.001))/0.0000184725</f>
        <v>14667.77509075029</v>
      </c>
      <c r="T20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0.47428695652173913</v>
      </c>
      <c r="U209">
        <f>Tableau1[[#This Row],[S2]]/Tableau1[[#This Row],[S1]]*SQRT(Tableau1[[#This Row],[rho1]]/Tableau1[[#This Row],[rho2]])*Tableau1[[#This Row],[J]]^(1/2)*Tableau1[[#This Row],[d2]]/Tableau1[[#This Row],[d1]]</f>
        <v>0.97102659863436414</v>
      </c>
      <c r="V209">
        <v>0.29577464788732394</v>
      </c>
      <c r="W209">
        <v>2.8301886792452827E-2</v>
      </c>
      <c r="X209">
        <v>8.2202757376980351E-2</v>
      </c>
      <c r="Y209">
        <v>1.1794664292299073</v>
      </c>
      <c r="Z209">
        <v>2.0099999999999998</v>
      </c>
      <c r="AA209">
        <v>28.84</v>
      </c>
      <c r="AB209">
        <f>Tableau1[[#This Row],[u2]]/Tableau1[[#This Row],[u1]]</f>
        <v>0.53414215388226194</v>
      </c>
      <c r="AC209">
        <f>ABS(Tableau1[[#This Row],[u2]]-Tableau1[[#This Row],[u1]])</f>
        <v>16.69627726140741</v>
      </c>
      <c r="AD209">
        <f>(Tableau1[[#This Row],[d1]]+0.002)/Tableau1[[#This Row],[d2]]</f>
        <v>0.4</v>
      </c>
      <c r="AE209">
        <f>Tableau1[[#This Row],[S2]]*Tableau1[[#This Row],[u2]]/(Tableau1[[#This Row],[S1]]*Tableau1[[#This Row],[u1]])*(1-Tableau1[[#This Row],[ALPHA]]^3)/(1-Tableau1[[#This Row],[ALPHA]]^4)</f>
        <v>0.28308536098397441</v>
      </c>
      <c r="AF209" s="1">
        <v>0</v>
      </c>
      <c r="AG209" s="1" t="s">
        <v>53</v>
      </c>
      <c r="AH209" t="s">
        <v>61</v>
      </c>
      <c r="AI209" t="s">
        <v>42</v>
      </c>
      <c r="AJ209" t="s">
        <v>42</v>
      </c>
      <c r="AK209">
        <v>34.5</v>
      </c>
      <c r="AL209">
        <v>36.5</v>
      </c>
      <c r="AM209">
        <v>3.7443587090753625</v>
      </c>
    </row>
    <row r="210" spans="1:39" x14ac:dyDescent="0.25">
      <c r="A210" t="s">
        <v>251</v>
      </c>
      <c r="B210">
        <v>10</v>
      </c>
      <c r="C210">
        <v>4</v>
      </c>
      <c r="D210">
        <v>0.48</v>
      </c>
      <c r="E210">
        <v>65535</v>
      </c>
      <c r="F210">
        <v>0.87</v>
      </c>
      <c r="G210">
        <v>0.55999999999999994</v>
      </c>
      <c r="H210" s="3">
        <f t="shared" si="2"/>
        <v>8.3300000000000005E-5</v>
      </c>
      <c r="I210">
        <v>5.9585121602288987E-3</v>
      </c>
      <c r="J210" s="3">
        <f t="shared" si="3"/>
        <v>8.3300000000000005E-5</v>
      </c>
      <c r="K210">
        <v>3.3910231806180721E-3</v>
      </c>
      <c r="L210">
        <v>6.0000000000000001E-3</v>
      </c>
      <c r="M210">
        <v>0.02</v>
      </c>
      <c r="N210" s="3">
        <f>Tableau1[[#This Row],[mH2]]/Tableau1[[#This Row],[rho1]]/(PI()*Tableau1[[#This Row],[d1]]^2/4)</f>
        <v>35.839854154109695</v>
      </c>
      <c r="O210">
        <f>Tableau1[[#This Row],[m2]]/Tableau1[[#This Row],[rho2]]/(PI()/4*(Tableau1[[#This Row],[d2]]^2-(Tableau1[[#This Row],[d1]]+2*0.001)^2))</f>
        <v>19.143576892702285</v>
      </c>
      <c r="P210">
        <v>4</v>
      </c>
      <c r="Q210" t="s">
        <v>165</v>
      </c>
      <c r="R210" s="3">
        <f>Tableau1[[#This Row],[rho1]]*Tableau1[[#This Row],[u1]]*Tableau1[[#This Row],[d1]]/0.0000089385</f>
        <v>1977.6035143189399</v>
      </c>
      <c r="S210">
        <f>Tableau1[[#This Row],[rho2]]*Tableau1[[#This Row],[u2]]*(Tableau1[[#This Row],[d2]]-(Tableau1[[#This Row],[d1]]+2*0.001))/0.0000184725</f>
        <v>14667.77509075029</v>
      </c>
      <c r="T21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0.55219999999999991</v>
      </c>
      <c r="U210">
        <f>Tableau1[[#This Row],[S2]]/Tableau1[[#This Row],[S1]]*SQRT(Tableau1[[#This Row],[rho1]]/Tableau1[[#This Row],[rho2]])*Tableau1[[#This Row],[J]]^(1/2)*Tableau1[[#This Row],[d2]]/Tableau1[[#This Row],[d1]]</f>
        <v>1.1328643650734249</v>
      </c>
      <c r="V210">
        <v>0.29577464788732394</v>
      </c>
      <c r="W210">
        <v>2.8301886792452827E-2</v>
      </c>
      <c r="X210">
        <v>8.2202757376980351E-2</v>
      </c>
      <c r="Y210">
        <v>1.1794664292299073</v>
      </c>
      <c r="Z210">
        <v>2.0099999999999998</v>
      </c>
      <c r="AA210">
        <v>28.84</v>
      </c>
      <c r="AB210">
        <f>Tableau1[[#This Row],[u2]]/Tableau1[[#This Row],[u1]]</f>
        <v>0.53414215388226194</v>
      </c>
      <c r="AC210">
        <f>ABS(Tableau1[[#This Row],[u2]]-Tableau1[[#This Row],[u1]])</f>
        <v>16.69627726140741</v>
      </c>
      <c r="AD210">
        <f>(Tableau1[[#This Row],[d1]]+0.002)/Tableau1[[#This Row],[d2]]</f>
        <v>0.4</v>
      </c>
      <c r="AE210">
        <f>Tableau1[[#This Row],[S2]]*Tableau1[[#This Row],[u2]]/(Tableau1[[#This Row],[S1]]*Tableau1[[#This Row],[u1]])*(1-Tableau1[[#This Row],[ALPHA]]^3)/(1-Tableau1[[#This Row],[ALPHA]]^4)</f>
        <v>0.33026625448130342</v>
      </c>
      <c r="AF210" s="1">
        <v>0</v>
      </c>
      <c r="AG210" s="1" t="s">
        <v>53</v>
      </c>
      <c r="AH210" t="s">
        <v>61</v>
      </c>
      <c r="AI210" t="s">
        <v>42</v>
      </c>
      <c r="AJ210" t="s">
        <v>42</v>
      </c>
      <c r="AK210">
        <v>27.5</v>
      </c>
      <c r="AL210">
        <v>29</v>
      </c>
      <c r="AM210">
        <v>2.97496993323796</v>
      </c>
    </row>
    <row r="211" spans="1:39" x14ac:dyDescent="0.25">
      <c r="A211" t="s">
        <v>252</v>
      </c>
      <c r="B211">
        <v>10</v>
      </c>
      <c r="C211">
        <v>4</v>
      </c>
      <c r="D211">
        <v>0.48</v>
      </c>
      <c r="E211">
        <v>65535</v>
      </c>
      <c r="F211">
        <v>0.87</v>
      </c>
      <c r="G211">
        <v>0.64000000000000012</v>
      </c>
      <c r="H211" s="3">
        <f t="shared" si="2"/>
        <v>8.3300000000000005E-5</v>
      </c>
      <c r="I211">
        <v>5.9585121602288987E-3</v>
      </c>
      <c r="J211" s="3">
        <f t="shared" si="3"/>
        <v>8.3300000000000005E-5</v>
      </c>
      <c r="K211">
        <v>3.875455063563512E-3</v>
      </c>
      <c r="L211">
        <v>6.0000000000000001E-3</v>
      </c>
      <c r="M211">
        <v>0.02</v>
      </c>
      <c r="N211" s="3">
        <f>Tableau1[[#This Row],[mH2]]/Tableau1[[#This Row],[rho1]]/(PI()*Tableau1[[#This Row],[d1]]^2/4)</f>
        <v>35.839854154109695</v>
      </c>
      <c r="O211">
        <f>Tableau1[[#This Row],[m2]]/Tableau1[[#This Row],[rho2]]/(PI()/4*(Tableau1[[#This Row],[d2]]^2-(Tableau1[[#This Row],[d1]]+2*0.001)^2))</f>
        <v>19.143576892702285</v>
      </c>
      <c r="P211">
        <v>4</v>
      </c>
      <c r="Q211" t="s">
        <v>165</v>
      </c>
      <c r="R211" s="3">
        <f>Tableau1[[#This Row],[rho1]]*Tableau1[[#This Row],[u1]]*Tableau1[[#This Row],[d1]]/0.0000089385</f>
        <v>1977.6035143189399</v>
      </c>
      <c r="S211">
        <f>Tableau1[[#This Row],[rho2]]*Tableau1[[#This Row],[u2]]*(Tableau1[[#This Row],[d2]]-(Tableau1[[#This Row],[d1]]+2*0.001))/0.0000184725</f>
        <v>14667.77509075029</v>
      </c>
      <c r="T21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0.63011304347826103</v>
      </c>
      <c r="U211">
        <f>Tableau1[[#This Row],[S2]]/Tableau1[[#This Row],[S1]]*SQRT(Tableau1[[#This Row],[rho1]]/Tableau1[[#This Row],[rho2]])*Tableau1[[#This Row],[J]]^(1/2)*Tableau1[[#This Row],[d2]]/Tableau1[[#This Row],[d1]]</f>
        <v>1.2947021315124856</v>
      </c>
      <c r="V211">
        <v>0.29577464788732394</v>
      </c>
      <c r="W211">
        <v>2.8301886792452827E-2</v>
      </c>
      <c r="X211">
        <v>8.2202757376980351E-2</v>
      </c>
      <c r="Y211">
        <v>1.1794664292299073</v>
      </c>
      <c r="Z211">
        <v>2.0099999999999998</v>
      </c>
      <c r="AA211">
        <v>28.84</v>
      </c>
      <c r="AB211">
        <f>Tableau1[[#This Row],[u2]]/Tableau1[[#This Row],[u1]]</f>
        <v>0.53414215388226194</v>
      </c>
      <c r="AC211">
        <f>ABS(Tableau1[[#This Row],[u2]]-Tableau1[[#This Row],[u1]])</f>
        <v>16.69627726140741</v>
      </c>
      <c r="AD211">
        <f>(Tableau1[[#This Row],[d1]]+0.002)/Tableau1[[#This Row],[d2]]</f>
        <v>0.4</v>
      </c>
      <c r="AE211">
        <f>Tableau1[[#This Row],[S2]]*Tableau1[[#This Row],[u2]]/(Tableau1[[#This Row],[S1]]*Tableau1[[#This Row],[u1]])*(1-Tableau1[[#This Row],[ALPHA]]^3)/(1-Tableau1[[#This Row],[ALPHA]]^4)</f>
        <v>0.37744714797863255</v>
      </c>
      <c r="AF211" s="1">
        <v>1</v>
      </c>
      <c r="AG211" s="1" t="s">
        <v>40</v>
      </c>
      <c r="AH211" t="s">
        <v>41</v>
      </c>
      <c r="AI211" t="s">
        <v>42</v>
      </c>
      <c r="AJ211" t="s">
        <v>42</v>
      </c>
      <c r="AK211">
        <v>16.5</v>
      </c>
      <c r="AL211">
        <v>17.3</v>
      </c>
      <c r="AM211">
        <v>1.7747234429316101</v>
      </c>
    </row>
    <row r="212" spans="1:39" x14ac:dyDescent="0.25">
      <c r="A212" t="s">
        <v>253</v>
      </c>
      <c r="B212">
        <v>10</v>
      </c>
      <c r="C212">
        <v>2.7777777777777777</v>
      </c>
      <c r="D212">
        <v>0.57999999999999996</v>
      </c>
      <c r="E212">
        <v>65535</v>
      </c>
      <c r="F212">
        <v>0.87</v>
      </c>
      <c r="G212">
        <v>0.48</v>
      </c>
      <c r="H212" s="3">
        <f t="shared" si="2"/>
        <v>8.3300000000000005E-5</v>
      </c>
      <c r="I212">
        <v>4.931182477430812E-3</v>
      </c>
      <c r="J212" s="3">
        <f t="shared" si="3"/>
        <v>8.3300000000000005E-5</v>
      </c>
      <c r="K212">
        <v>2.4054548670394203E-3</v>
      </c>
      <c r="L212">
        <v>6.0000000000000001E-3</v>
      </c>
      <c r="M212">
        <v>0.02</v>
      </c>
      <c r="N212" s="3">
        <f>Tableau1[[#This Row],[mH2]]/Tableau1[[#This Row],[rho1]]/(PI()*Tableau1[[#This Row],[d1]]^2/4)</f>
        <v>35.839854154109695</v>
      </c>
      <c r="O212">
        <f>Tableau1[[#This Row],[m2]]/Tableau1[[#This Row],[rho2]]/(PI()/4*(Tableau1[[#This Row],[d2]]^2-(Tableau1[[#This Row],[d1]]+2*0.001)^2))</f>
        <v>15.842960187063959</v>
      </c>
      <c r="P212">
        <v>4</v>
      </c>
      <c r="Q212" t="s">
        <v>165</v>
      </c>
      <c r="R212" s="3">
        <f>Tableau1[[#This Row],[rho1]]*Tableau1[[#This Row],[u1]]*Tableau1[[#This Row],[d1]]/0.0000089385</f>
        <v>1977.6035143189399</v>
      </c>
      <c r="S212">
        <f>Tableau1[[#This Row],[rho2]]*Tableau1[[#This Row],[u2]]*(Tableau1[[#This Row],[d2]]-(Tableau1[[#This Row],[d1]]+2*0.001))/0.0000184725</f>
        <v>12138.848350965756</v>
      </c>
      <c r="T21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0.47186657496561213</v>
      </c>
      <c r="U212">
        <f>Tableau1[[#This Row],[S2]]/Tableau1[[#This Row],[S1]]*SQRT(Tableau1[[#This Row],[rho1]]/Tableau1[[#This Row],[rho2]])*Tableau1[[#This Row],[J]]^(1/2)*Tableau1[[#This Row],[d2]]/Tableau1[[#This Row],[d1]]</f>
        <v>0.80918883219530346</v>
      </c>
      <c r="V212">
        <v>0.29577464788732394</v>
      </c>
      <c r="W212">
        <v>2.8301886792452827E-2</v>
      </c>
      <c r="X212">
        <v>8.2202757376980351E-2</v>
      </c>
      <c r="Y212">
        <v>1.1794664292299073</v>
      </c>
      <c r="Z212">
        <v>2.0099999999999998</v>
      </c>
      <c r="AA212">
        <v>28.84</v>
      </c>
      <c r="AB212">
        <f>Tableau1[[#This Row],[u2]]/Tableau1[[#This Row],[u1]]</f>
        <v>0.44204867907497536</v>
      </c>
      <c r="AC212">
        <f>ABS(Tableau1[[#This Row],[u2]]-Tableau1[[#This Row],[u1]])</f>
        <v>19.996893967045736</v>
      </c>
      <c r="AD212">
        <f>(Tableau1[[#This Row],[d1]]+0.002)/Tableau1[[#This Row],[d2]]</f>
        <v>0.4</v>
      </c>
      <c r="AE212">
        <f>Tableau1[[#This Row],[S2]]*Tableau1[[#This Row],[u2]]/(Tableau1[[#This Row],[S1]]*Tableau1[[#This Row],[u1]])*(1-Tableau1[[#This Row],[ALPHA]]^3)/(1-Tableau1[[#This Row],[ALPHA]]^4)</f>
        <v>0.23427754012466845</v>
      </c>
      <c r="AF212" s="1">
        <v>0</v>
      </c>
      <c r="AG212" s="1" t="s">
        <v>53</v>
      </c>
      <c r="AH212" t="s">
        <v>61</v>
      </c>
      <c r="AI212" t="s">
        <v>42</v>
      </c>
      <c r="AJ212" t="s">
        <v>42</v>
      </c>
      <c r="AK212">
        <v>46.3</v>
      </c>
      <c r="AL212">
        <v>49.2</v>
      </c>
      <c r="AM212">
        <v>4.0793870658932496</v>
      </c>
    </row>
    <row r="213" spans="1:39" x14ac:dyDescent="0.25">
      <c r="A213" t="s">
        <v>254</v>
      </c>
      <c r="B213">
        <v>10</v>
      </c>
      <c r="C213">
        <v>2.7777777777777777</v>
      </c>
      <c r="D213">
        <v>0.57999999999999996</v>
      </c>
      <c r="E213">
        <v>65535</v>
      </c>
      <c r="F213">
        <v>0.87</v>
      </c>
      <c r="G213">
        <v>0.55999999999999994</v>
      </c>
      <c r="H213" s="3">
        <f t="shared" si="2"/>
        <v>8.3300000000000005E-5</v>
      </c>
      <c r="I213">
        <v>4.931182477430812E-3</v>
      </c>
      <c r="J213" s="3">
        <f t="shared" si="3"/>
        <v>8.3300000000000005E-5</v>
      </c>
      <c r="K213">
        <v>2.8063640115459907E-3</v>
      </c>
      <c r="L213">
        <v>6.0000000000000001E-3</v>
      </c>
      <c r="M213">
        <v>0.02</v>
      </c>
      <c r="N213" s="3">
        <f>Tableau1[[#This Row],[mH2]]/Tableau1[[#This Row],[rho1]]/(PI()*Tableau1[[#This Row],[d1]]^2/4)</f>
        <v>35.839854154109695</v>
      </c>
      <c r="O213">
        <f>Tableau1[[#This Row],[m2]]/Tableau1[[#This Row],[rho2]]/(PI()/4*(Tableau1[[#This Row],[d2]]^2-(Tableau1[[#This Row],[d1]]+2*0.001)^2))</f>
        <v>15.842960187063959</v>
      </c>
      <c r="P213">
        <v>4</v>
      </c>
      <c r="Q213" t="s">
        <v>165</v>
      </c>
      <c r="R213" s="3">
        <f>Tableau1[[#This Row],[rho1]]*Tableau1[[#This Row],[u1]]*Tableau1[[#This Row],[d1]]/0.0000089385</f>
        <v>1977.6035143189399</v>
      </c>
      <c r="S213">
        <f>Tableau1[[#This Row],[rho2]]*Tableau1[[#This Row],[u2]]*(Tableau1[[#This Row],[d2]]-(Tableau1[[#This Row],[d1]]+2*0.001))/0.0000184725</f>
        <v>12138.848350965756</v>
      </c>
      <c r="T21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0.54889546079779916</v>
      </c>
      <c r="U213">
        <f>Tableau1[[#This Row],[S2]]/Tableau1[[#This Row],[S1]]*SQRT(Tableau1[[#This Row],[rho1]]/Tableau1[[#This Row],[rho2]])*Tableau1[[#This Row],[J]]^(1/2)*Tableau1[[#This Row],[d2]]/Tableau1[[#This Row],[d1]]</f>
        <v>0.94405363756118743</v>
      </c>
      <c r="V213">
        <v>0.29577464788732394</v>
      </c>
      <c r="W213">
        <v>2.8301886792452827E-2</v>
      </c>
      <c r="X213">
        <v>8.2202757376980351E-2</v>
      </c>
      <c r="Y213">
        <v>1.1794664292299073</v>
      </c>
      <c r="Z213">
        <v>2.0099999999999998</v>
      </c>
      <c r="AA213">
        <v>28.84</v>
      </c>
      <c r="AB213">
        <f>Tableau1[[#This Row],[u2]]/Tableau1[[#This Row],[u1]]</f>
        <v>0.44204867907497536</v>
      </c>
      <c r="AC213">
        <f>ABS(Tableau1[[#This Row],[u2]]-Tableau1[[#This Row],[u1]])</f>
        <v>19.996893967045736</v>
      </c>
      <c r="AD213">
        <f>(Tableau1[[#This Row],[d1]]+0.002)/Tableau1[[#This Row],[d2]]</f>
        <v>0.4</v>
      </c>
      <c r="AE213">
        <f>Tableau1[[#This Row],[S2]]*Tableau1[[#This Row],[u2]]/(Tableau1[[#This Row],[S1]]*Tableau1[[#This Row],[u1]])*(1-Tableau1[[#This Row],[ALPHA]]^3)/(1-Tableau1[[#This Row],[ALPHA]]^4)</f>
        <v>0.27332379681211316</v>
      </c>
      <c r="AF213" s="1">
        <v>0</v>
      </c>
      <c r="AG213" s="1" t="s">
        <v>53</v>
      </c>
      <c r="AH213" t="s">
        <v>61</v>
      </c>
      <c r="AI213" t="s">
        <v>42</v>
      </c>
      <c r="AJ213" t="s">
        <v>42</v>
      </c>
      <c r="AK213">
        <v>39.200000000000003</v>
      </c>
      <c r="AL213">
        <v>41</v>
      </c>
      <c r="AM213">
        <v>3.3994892215777082</v>
      </c>
    </row>
    <row r="214" spans="1:39" x14ac:dyDescent="0.25">
      <c r="A214" t="s">
        <v>255</v>
      </c>
      <c r="B214">
        <v>10</v>
      </c>
      <c r="C214">
        <v>2.7777777777777777</v>
      </c>
      <c r="D214">
        <v>0.57999999999999996</v>
      </c>
      <c r="E214">
        <v>65535</v>
      </c>
      <c r="F214">
        <v>0.87</v>
      </c>
      <c r="G214">
        <v>0.64000000000000012</v>
      </c>
      <c r="H214" s="3">
        <f t="shared" si="2"/>
        <v>8.3300000000000005E-5</v>
      </c>
      <c r="I214">
        <v>4.931182477430812E-3</v>
      </c>
      <c r="J214" s="3">
        <f t="shared" si="3"/>
        <v>8.3300000000000005E-5</v>
      </c>
      <c r="K214">
        <v>3.2072731560525607E-3</v>
      </c>
      <c r="L214">
        <v>6.0000000000000001E-3</v>
      </c>
      <c r="M214">
        <v>0.02</v>
      </c>
      <c r="N214" s="3">
        <f>Tableau1[[#This Row],[mH2]]/Tableau1[[#This Row],[rho1]]/(PI()*Tableau1[[#This Row],[d1]]^2/4)</f>
        <v>35.839854154109695</v>
      </c>
      <c r="O214">
        <f>Tableau1[[#This Row],[m2]]/Tableau1[[#This Row],[rho2]]/(PI()/4*(Tableau1[[#This Row],[d2]]^2-(Tableau1[[#This Row],[d1]]+2*0.001)^2))</f>
        <v>15.842960187063959</v>
      </c>
      <c r="P214">
        <v>4</v>
      </c>
      <c r="Q214" t="s">
        <v>165</v>
      </c>
      <c r="R214" s="3">
        <f>Tableau1[[#This Row],[rho1]]*Tableau1[[#This Row],[u1]]*Tableau1[[#This Row],[d1]]/0.0000089385</f>
        <v>1977.6035143189399</v>
      </c>
      <c r="S214">
        <f>Tableau1[[#This Row],[rho2]]*Tableau1[[#This Row],[u2]]*(Tableau1[[#This Row],[d2]]-(Tableau1[[#This Row],[d1]]+2*0.001))/0.0000184725</f>
        <v>12138.848350965756</v>
      </c>
      <c r="T21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0.62592434662998642</v>
      </c>
      <c r="U214">
        <f>Tableau1[[#This Row],[S2]]/Tableau1[[#This Row],[S1]]*SQRT(Tableau1[[#This Row],[rho1]]/Tableau1[[#This Row],[rho2]])*Tableau1[[#This Row],[J]]^(1/2)*Tableau1[[#This Row],[d2]]/Tableau1[[#This Row],[d1]]</f>
        <v>1.0789184429270715</v>
      </c>
      <c r="V214">
        <v>0.29577464788732394</v>
      </c>
      <c r="W214">
        <v>2.8301886792452827E-2</v>
      </c>
      <c r="X214">
        <v>8.2202757376980351E-2</v>
      </c>
      <c r="Y214">
        <v>1.1794664292299073</v>
      </c>
      <c r="Z214">
        <v>2.0099999999999998</v>
      </c>
      <c r="AA214">
        <v>28.84</v>
      </c>
      <c r="AB214">
        <f>Tableau1[[#This Row],[u2]]/Tableau1[[#This Row],[u1]]</f>
        <v>0.44204867907497536</v>
      </c>
      <c r="AC214">
        <f>ABS(Tableau1[[#This Row],[u2]]-Tableau1[[#This Row],[u1]])</f>
        <v>19.996893967045736</v>
      </c>
      <c r="AD214">
        <f>(Tableau1[[#This Row],[d1]]+0.002)/Tableau1[[#This Row],[d2]]</f>
        <v>0.4</v>
      </c>
      <c r="AE214">
        <f>Tableau1[[#This Row],[S2]]*Tableau1[[#This Row],[u2]]/(Tableau1[[#This Row],[S1]]*Tableau1[[#This Row],[u1]])*(1-Tableau1[[#This Row],[ALPHA]]^3)/(1-Tableau1[[#This Row],[ALPHA]]^4)</f>
        <v>0.31237005349955793</v>
      </c>
      <c r="AF214" s="1">
        <v>1</v>
      </c>
      <c r="AG214" s="1" t="s">
        <v>40</v>
      </c>
      <c r="AH214" t="s">
        <v>41</v>
      </c>
      <c r="AI214" t="s">
        <v>42</v>
      </c>
      <c r="AJ214" t="s">
        <v>42</v>
      </c>
      <c r="AK214">
        <v>20.8</v>
      </c>
      <c r="AL214">
        <v>21.8</v>
      </c>
      <c r="AM214">
        <v>1.8075332934242452</v>
      </c>
    </row>
    <row r="215" spans="1:39" x14ac:dyDescent="0.25">
      <c r="A215" t="s">
        <v>256</v>
      </c>
      <c r="B215">
        <v>10</v>
      </c>
      <c r="C215">
        <v>2.0408163265306127</v>
      </c>
      <c r="D215">
        <v>0.68</v>
      </c>
      <c r="E215">
        <v>65535</v>
      </c>
      <c r="F215">
        <v>0.87</v>
      </c>
      <c r="G215">
        <v>0.48</v>
      </c>
      <c r="H215" s="3">
        <f t="shared" si="2"/>
        <v>8.3300000000000005E-5</v>
      </c>
      <c r="I215">
        <v>4.206008583690986E-3</v>
      </c>
      <c r="J215" s="3">
        <f t="shared" si="3"/>
        <v>8.3300000000000005E-5</v>
      </c>
      <c r="K215">
        <v>2.0517115042395055E-3</v>
      </c>
      <c r="L215">
        <v>6.0000000000000001E-3</v>
      </c>
      <c r="M215">
        <v>0.02</v>
      </c>
      <c r="N215" s="3">
        <f>Tableau1[[#This Row],[mH2]]/Tableau1[[#This Row],[rho1]]/(PI()*Tableau1[[#This Row],[d1]]^2/4)</f>
        <v>35.839854154109695</v>
      </c>
      <c r="O215">
        <f>Tableau1[[#This Row],[m2]]/Tableau1[[#This Row],[rho2]]/(PI()/4*(Tableau1[[#This Row],[d2]]^2-(Tableau1[[#This Row],[d1]]+2*0.001)^2))</f>
        <v>13.513113100731021</v>
      </c>
      <c r="P215">
        <v>4</v>
      </c>
      <c r="Q215" t="s">
        <v>165</v>
      </c>
      <c r="R215" s="3">
        <f>Tableau1[[#This Row],[rho1]]*Tableau1[[#This Row],[u1]]*Tableau1[[#This Row],[d1]]/0.0000089385</f>
        <v>1977.6035143189399</v>
      </c>
      <c r="S215">
        <f>Tableau1[[#This Row],[rho2]]*Tableau1[[#This Row],[u2]]*(Tableau1[[#This Row],[d2]]-(Tableau1[[#This Row],[d1]]+2*0.001))/0.0000184725</f>
        <v>10353.72359347079</v>
      </c>
      <c r="T21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0.46907600950118766</v>
      </c>
      <c r="U215">
        <f>Tableau1[[#This Row],[S2]]/Tableau1[[#This Row],[S1]]*SQRT(Tableau1[[#This Row],[rho1]]/Tableau1[[#This Row],[rho2]])*Tableau1[[#This Row],[J]]^(1/2)*Tableau1[[#This Row],[d2]]/Tableau1[[#This Row],[d1]]</f>
        <v>0.69359042759597456</v>
      </c>
      <c r="V215">
        <v>0.29577464788732394</v>
      </c>
      <c r="W215">
        <v>2.8301886792452827E-2</v>
      </c>
      <c r="X215">
        <v>8.2202757376980351E-2</v>
      </c>
      <c r="Y215">
        <v>1.1794664292299073</v>
      </c>
      <c r="Z215">
        <v>2.0099999999999998</v>
      </c>
      <c r="AA215">
        <v>28.84</v>
      </c>
      <c r="AB215">
        <f>Tableau1[[#This Row],[u2]]/Tableau1[[#This Row],[u1]]</f>
        <v>0.3770415203874789</v>
      </c>
      <c r="AC215">
        <f>ABS(Tableau1[[#This Row],[u2]]-Tableau1[[#This Row],[u1]])</f>
        <v>22.326741053378676</v>
      </c>
      <c r="AD215">
        <f>(Tableau1[[#This Row],[d1]]+0.002)/Tableau1[[#This Row],[d2]]</f>
        <v>0.4</v>
      </c>
      <c r="AE215">
        <f>Tableau1[[#This Row],[S2]]*Tableau1[[#This Row],[u2]]/(Tableau1[[#This Row],[S1]]*Tableau1[[#This Row],[u1]])*(1-Tableau1[[#This Row],[ALPHA]]^3)/(1-Tableau1[[#This Row],[ALPHA]]^4)</f>
        <v>0.19982496069457009</v>
      </c>
      <c r="AF215">
        <v>0</v>
      </c>
      <c r="AG215" s="1" t="s">
        <v>53</v>
      </c>
      <c r="AH215" t="s">
        <v>61</v>
      </c>
      <c r="AI215" t="s">
        <v>42</v>
      </c>
      <c r="AJ215" t="s">
        <v>42</v>
      </c>
      <c r="AK215">
        <v>51.5</v>
      </c>
      <c r="AL215">
        <v>55.5</v>
      </c>
      <c r="AM215">
        <v>3.8311153868792149</v>
      </c>
    </row>
    <row r="216" spans="1:39" x14ac:dyDescent="0.25">
      <c r="A216" t="s">
        <v>257</v>
      </c>
      <c r="B216">
        <v>10</v>
      </c>
      <c r="C216">
        <v>2.0408163265306127</v>
      </c>
      <c r="D216">
        <v>0.68</v>
      </c>
      <c r="E216">
        <v>65535</v>
      </c>
      <c r="F216">
        <v>0.87</v>
      </c>
      <c r="G216">
        <v>0.55999999999999994</v>
      </c>
      <c r="H216" s="3">
        <f t="shared" si="2"/>
        <v>8.3300000000000005E-5</v>
      </c>
      <c r="I216">
        <v>4.206008583690986E-3</v>
      </c>
      <c r="J216" s="3">
        <f t="shared" si="3"/>
        <v>8.3300000000000005E-5</v>
      </c>
      <c r="K216">
        <v>2.3936634216127563E-3</v>
      </c>
      <c r="L216">
        <v>6.0000000000000001E-3</v>
      </c>
      <c r="M216">
        <v>0.02</v>
      </c>
      <c r="N216" s="3">
        <f>Tableau1[[#This Row],[mH2]]/Tableau1[[#This Row],[rho1]]/(PI()*Tableau1[[#This Row],[d1]]^2/4)</f>
        <v>35.839854154109695</v>
      </c>
      <c r="O216">
        <f>Tableau1[[#This Row],[m2]]/Tableau1[[#This Row],[rho2]]/(PI()/4*(Tableau1[[#This Row],[d2]]^2-(Tableau1[[#This Row],[d1]]+2*0.001)^2))</f>
        <v>13.513113100731021</v>
      </c>
      <c r="P216">
        <v>4</v>
      </c>
      <c r="Q216" t="s">
        <v>165</v>
      </c>
      <c r="R216" s="3">
        <f>Tableau1[[#This Row],[rho1]]*Tableau1[[#This Row],[u1]]*Tableau1[[#This Row],[d1]]/0.0000089385</f>
        <v>1977.6035143189399</v>
      </c>
      <c r="S216">
        <f>Tableau1[[#This Row],[rho2]]*Tableau1[[#This Row],[u2]]*(Tableau1[[#This Row],[d2]]-(Tableau1[[#This Row],[d1]]+2*0.001))/0.0000184725</f>
        <v>10353.72359347079</v>
      </c>
      <c r="T21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0.54508551068883615</v>
      </c>
      <c r="U216">
        <f>Tableau1[[#This Row],[S2]]/Tableau1[[#This Row],[S1]]*SQRT(Tableau1[[#This Row],[rho1]]/Tableau1[[#This Row],[rho2]])*Tableau1[[#This Row],[J]]^(1/2)*Tableau1[[#This Row],[d2]]/Tableau1[[#This Row],[d1]]</f>
        <v>0.80918883219530358</v>
      </c>
      <c r="V216">
        <v>0.29577464788732394</v>
      </c>
      <c r="W216">
        <v>2.8301886792452827E-2</v>
      </c>
      <c r="X216">
        <v>8.2202757376980351E-2</v>
      </c>
      <c r="Y216">
        <v>1.1794664292299073</v>
      </c>
      <c r="Z216">
        <v>2.0099999999999998</v>
      </c>
      <c r="AA216">
        <v>28.84</v>
      </c>
      <c r="AB216">
        <f>Tableau1[[#This Row],[u2]]/Tableau1[[#This Row],[u1]]</f>
        <v>0.3770415203874789</v>
      </c>
      <c r="AC216">
        <f>ABS(Tableau1[[#This Row],[u2]]-Tableau1[[#This Row],[u1]])</f>
        <v>22.326741053378676</v>
      </c>
      <c r="AD216">
        <f>(Tableau1[[#This Row],[d1]]+0.002)/Tableau1[[#This Row],[d2]]</f>
        <v>0.4</v>
      </c>
      <c r="AE216">
        <f>Tableau1[[#This Row],[S2]]*Tableau1[[#This Row],[u2]]/(Tableau1[[#This Row],[S1]]*Tableau1[[#This Row],[u1]])*(1-Tableau1[[#This Row],[ALPHA]]^3)/(1-Tableau1[[#This Row],[ALPHA]]^4)</f>
        <v>0.23312912081033177</v>
      </c>
      <c r="AF216" s="1">
        <v>0</v>
      </c>
      <c r="AG216" s="1" t="s">
        <v>53</v>
      </c>
      <c r="AH216" t="s">
        <v>54</v>
      </c>
      <c r="AI216" t="s">
        <v>42</v>
      </c>
      <c r="AJ216" t="s">
        <v>42</v>
      </c>
      <c r="AK216">
        <v>36.4</v>
      </c>
      <c r="AL216">
        <v>38.299999999999997</v>
      </c>
      <c r="AM216">
        <v>2.6438147624770072</v>
      </c>
    </row>
    <row r="217" spans="1:39" x14ac:dyDescent="0.25">
      <c r="A217" t="s">
        <v>258</v>
      </c>
      <c r="B217">
        <v>10</v>
      </c>
      <c r="C217">
        <v>2.0408163265306127</v>
      </c>
      <c r="D217">
        <v>0.68</v>
      </c>
      <c r="E217">
        <v>65535</v>
      </c>
      <c r="F217">
        <v>0.87</v>
      </c>
      <c r="G217">
        <v>0.64000000000000012</v>
      </c>
      <c r="H217" s="3">
        <f t="shared" si="2"/>
        <v>8.3300000000000005E-5</v>
      </c>
      <c r="I217">
        <v>4.206008583690986E-3</v>
      </c>
      <c r="J217" s="3">
        <f t="shared" si="3"/>
        <v>8.3300000000000005E-5</v>
      </c>
      <c r="K217">
        <v>2.7356153389860075E-3</v>
      </c>
      <c r="L217">
        <v>6.0000000000000001E-3</v>
      </c>
      <c r="M217">
        <v>0.02</v>
      </c>
      <c r="N217" s="3">
        <f>Tableau1[[#This Row],[mH2]]/Tableau1[[#This Row],[rho1]]/(PI()*Tableau1[[#This Row],[d1]]^2/4)</f>
        <v>35.839854154109695</v>
      </c>
      <c r="O217">
        <f>Tableau1[[#This Row],[m2]]/Tableau1[[#This Row],[rho2]]/(PI()/4*(Tableau1[[#This Row],[d2]]^2-(Tableau1[[#This Row],[d1]]+2*0.001)^2))</f>
        <v>13.513113100731021</v>
      </c>
      <c r="P217">
        <v>4</v>
      </c>
      <c r="Q217" t="s">
        <v>165</v>
      </c>
      <c r="R217" s="3">
        <f>Tableau1[[#This Row],[rho1]]*Tableau1[[#This Row],[u1]]*Tableau1[[#This Row],[d1]]/0.0000089385</f>
        <v>1977.6035143189399</v>
      </c>
      <c r="S217">
        <f>Tableau1[[#This Row],[rho2]]*Tableau1[[#This Row],[u2]]*(Tableau1[[#This Row],[d2]]-(Tableau1[[#This Row],[d1]]+2*0.001))/0.0000184725</f>
        <v>10353.72359347079</v>
      </c>
      <c r="T21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0.62109501187648475</v>
      </c>
      <c r="U217">
        <f>Tableau1[[#This Row],[S2]]/Tableau1[[#This Row],[S1]]*SQRT(Tableau1[[#This Row],[rho1]]/Tableau1[[#This Row],[rho2]])*Tableau1[[#This Row],[J]]^(1/2)*Tableau1[[#This Row],[d2]]/Tableau1[[#This Row],[d1]]</f>
        <v>0.92478723679463293</v>
      </c>
      <c r="V217">
        <v>0.29577464788732394</v>
      </c>
      <c r="W217">
        <v>2.8301886792452827E-2</v>
      </c>
      <c r="X217">
        <v>8.2202757376980351E-2</v>
      </c>
      <c r="Y217">
        <v>1.1794664292299073</v>
      </c>
      <c r="Z217">
        <v>2.0099999999999998</v>
      </c>
      <c r="AA217">
        <v>28.84</v>
      </c>
      <c r="AB217">
        <f>Tableau1[[#This Row],[u2]]/Tableau1[[#This Row],[u1]]</f>
        <v>0.3770415203874789</v>
      </c>
      <c r="AC217">
        <f>ABS(Tableau1[[#This Row],[u2]]-Tableau1[[#This Row],[u1]])</f>
        <v>22.326741053378676</v>
      </c>
      <c r="AD217">
        <f>(Tableau1[[#This Row],[d1]]+0.002)/Tableau1[[#This Row],[d2]]</f>
        <v>0.4</v>
      </c>
      <c r="AE217">
        <f>Tableau1[[#This Row],[S2]]*Tableau1[[#This Row],[u2]]/(Tableau1[[#This Row],[S1]]*Tableau1[[#This Row],[u1]])*(1-Tableau1[[#This Row],[ALPHA]]^3)/(1-Tableau1[[#This Row],[ALPHA]]^4)</f>
        <v>0.26643328092609353</v>
      </c>
      <c r="AF217" s="1">
        <v>1</v>
      </c>
      <c r="AG217" s="1" t="s">
        <v>40</v>
      </c>
      <c r="AH217" t="s">
        <v>41</v>
      </c>
      <c r="AI217" t="s">
        <v>42</v>
      </c>
      <c r="AJ217" t="s">
        <v>42</v>
      </c>
      <c r="AK217">
        <v>26.2</v>
      </c>
      <c r="AL217">
        <v>27</v>
      </c>
      <c r="AM217">
        <v>1.8637858638871858</v>
      </c>
    </row>
    <row r="218" spans="1:39" x14ac:dyDescent="0.25">
      <c r="A218" t="s">
        <v>205</v>
      </c>
      <c r="B218">
        <v>10</v>
      </c>
      <c r="C218">
        <v>6.2499999999999991</v>
      </c>
      <c r="D218">
        <v>0.39</v>
      </c>
      <c r="E218">
        <v>65535</v>
      </c>
      <c r="F218">
        <v>0</v>
      </c>
      <c r="G218">
        <v>0.48</v>
      </c>
      <c r="H218" s="3">
        <f t="shared" si="2"/>
        <v>8.3300000000000005E-5</v>
      </c>
      <c r="I218">
        <v>7.3335534279740282E-3</v>
      </c>
      <c r="J218" s="3">
        <f t="shared" si="3"/>
        <v>8.3300000000000005E-5</v>
      </c>
      <c r="K218">
        <v>3.5773431355970867E-3</v>
      </c>
      <c r="L218">
        <v>6.0000000000000001E-3</v>
      </c>
      <c r="M218">
        <v>0.02</v>
      </c>
      <c r="N218" s="3">
        <f>Tableau1[[#This Row],[mH2]]/Tableau1[[#This Row],[rho1]]/(PI()*Tableau1[[#This Row],[d1]]^2/4)</f>
        <v>35.839854154109695</v>
      </c>
      <c r="O218">
        <f>Tableau1[[#This Row],[m2]]/Tableau1[[#This Row],[rho2]]/(PI()/4*(Tableau1[[#This Row],[d2]]^2-(Tableau1[[#This Row],[d1]]+2*0.001)^2))</f>
        <v>23.561325406402812</v>
      </c>
      <c r="P218">
        <v>4</v>
      </c>
      <c r="Q218" t="s">
        <v>165</v>
      </c>
      <c r="R218" s="3">
        <f>Tableau1[[#This Row],[rho1]]*Tableau1[[#This Row],[u1]]*Tableau1[[#This Row],[d1]]/0.0000089385</f>
        <v>1977.6035143189399</v>
      </c>
      <c r="S218">
        <f>Tableau1[[#This Row],[rho2]]*Tableau1[[#This Row],[u2]]*(Tableau1[[#This Row],[d2]]-(Tableau1[[#This Row],[d1]]+2*0.001))/0.0000184725</f>
        <v>18052.64626553882</v>
      </c>
      <c r="T21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0.47191011235955055</v>
      </c>
      <c r="U218" t="e">
        <f>Tableau1[[#This Row],[S2]]/Tableau1[[#This Row],[S1]]*SQRT(Tableau1[[#This Row],[rho1]]/Tableau1[[#This Row],[rho2]])*Tableau1[[#This Row],[J]]^(1/2)*Tableau1[[#This Row],[d2]]/Tableau1[[#This Row],[d1]]</f>
        <v>#DIV/0!</v>
      </c>
      <c r="V218">
        <v>0.29577464788732394</v>
      </c>
      <c r="W218">
        <v>2.8301886792452827E-2</v>
      </c>
      <c r="X218">
        <v>8.2202757376980351E-2</v>
      </c>
      <c r="Y218">
        <v>1.1794664292299073</v>
      </c>
      <c r="Z218">
        <v>2.0099999999999998</v>
      </c>
      <c r="AA218">
        <v>28.84</v>
      </c>
      <c r="AB218">
        <f>Tableau1[[#This Row],[u2]]/Tableau1[[#This Row],[u1]]</f>
        <v>0.65740572785509155</v>
      </c>
      <c r="AC218">
        <f>ABS(Tableau1[[#This Row],[u2]]-Tableau1[[#This Row],[u1]])</f>
        <v>12.278528747706883</v>
      </c>
      <c r="AD218">
        <f>(Tableau1[[#This Row],[d1]]+0.002)/Tableau1[[#This Row],[d2]]</f>
        <v>0.4</v>
      </c>
      <c r="AE218" t="e">
        <f>Tableau1[[#This Row],[S2]]*Tableau1[[#This Row],[u2]]/(Tableau1[[#This Row],[S1]]*Tableau1[[#This Row],[u1]])*(1-Tableau1[[#This Row],[ALPHA]]^3)/(1-Tableau1[[#This Row],[ALPHA]]^4)</f>
        <v>#DIV/0!</v>
      </c>
      <c r="AF218" s="1">
        <v>0</v>
      </c>
      <c r="AG218" s="1" t="s">
        <v>53</v>
      </c>
      <c r="AH218" t="s">
        <v>61</v>
      </c>
      <c r="AI218" t="s">
        <v>42</v>
      </c>
      <c r="AJ218" t="s">
        <v>42</v>
      </c>
      <c r="AK218">
        <v>18.5</v>
      </c>
      <c r="AL218">
        <v>21.5</v>
      </c>
      <c r="AM218">
        <v>2.7716463712506423</v>
      </c>
    </row>
    <row r="219" spans="1:39" x14ac:dyDescent="0.25">
      <c r="A219" t="s">
        <v>259</v>
      </c>
      <c r="B219">
        <v>10</v>
      </c>
      <c r="C219">
        <v>1.5624999999999998</v>
      </c>
      <c r="D219">
        <v>0.77</v>
      </c>
      <c r="E219">
        <v>65535</v>
      </c>
      <c r="F219">
        <v>0.87</v>
      </c>
      <c r="G219">
        <v>0.48</v>
      </c>
      <c r="H219" s="3">
        <f t="shared" si="2"/>
        <v>8.3300000000000005E-5</v>
      </c>
      <c r="I219">
        <v>3.7143971907920401E-3</v>
      </c>
      <c r="J219" s="3">
        <f t="shared" si="3"/>
        <v>8.3300000000000005E-5</v>
      </c>
      <c r="K219">
        <v>1.8119010686790437E-3</v>
      </c>
      <c r="L219">
        <v>6.0000000000000001E-3</v>
      </c>
      <c r="M219">
        <v>0.02</v>
      </c>
      <c r="N219" s="3">
        <f>Tableau1[[#This Row],[mH2]]/Tableau1[[#This Row],[rho1]]/(PI()*Tableau1[[#This Row],[d1]]^2/4)</f>
        <v>35.839854154109695</v>
      </c>
      <c r="O219">
        <f>Tableau1[[#This Row],[m2]]/Tableau1[[#This Row],[rho2]]/(PI()/4*(Tableau1[[#This Row],[d2]]^2-(Tableau1[[#This Row],[d1]]+2*0.001)^2))</f>
        <v>11.933658322723501</v>
      </c>
      <c r="P219">
        <v>4</v>
      </c>
      <c r="Q219" t="s">
        <v>165</v>
      </c>
      <c r="R219" s="3">
        <f>Tableau1[[#This Row],[rho1]]*Tableau1[[#This Row],[u1]]*Tableau1[[#This Row],[d1]]/0.0000089385</f>
        <v>1977.6035143189399</v>
      </c>
      <c r="S219">
        <f>Tableau1[[#This Row],[rho2]]*Tableau1[[#This Row],[u2]]*(Tableau1[[#This Row],[d2]]-(Tableau1[[#This Row],[d1]]+2*0.001))/0.0000184725</f>
        <v>9143.5481085196607</v>
      </c>
      <c r="T21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0.46594652406417109</v>
      </c>
      <c r="U219">
        <f>Tableau1[[#This Row],[S2]]/Tableau1[[#This Row],[S1]]*SQRT(Tableau1[[#This Row],[rho1]]/Tableau1[[#This Row],[rho2]])*Tableau1[[#This Row],[J]]^(1/2)*Tableau1[[#This Row],[d2]]/Tableau1[[#This Row],[d1]]</f>
        <v>0.60689162414647757</v>
      </c>
      <c r="V219">
        <v>0.29577464788732394</v>
      </c>
      <c r="W219">
        <v>2.8301886792452827E-2</v>
      </c>
      <c r="X219">
        <v>8.2202757376980351E-2</v>
      </c>
      <c r="Y219">
        <v>1.1794664292299073</v>
      </c>
      <c r="Z219">
        <v>2.0099999999999998</v>
      </c>
      <c r="AA219">
        <v>28.84</v>
      </c>
      <c r="AB219">
        <f>Tableau1[[#This Row],[u2]]/Tableau1[[#This Row],[u1]]</f>
        <v>0.33297173229024118</v>
      </c>
      <c r="AC219">
        <f>ABS(Tableau1[[#This Row],[u2]]-Tableau1[[#This Row],[u1]])</f>
        <v>23.906195831386192</v>
      </c>
      <c r="AD219">
        <f>(Tableau1[[#This Row],[d1]]+0.002)/Tableau1[[#This Row],[d2]]</f>
        <v>0.4</v>
      </c>
      <c r="AE219">
        <f>Tableau1[[#This Row],[S2]]*Tableau1[[#This Row],[u2]]/(Tableau1[[#This Row],[S1]]*Tableau1[[#This Row],[u1]])*(1-Tableau1[[#This Row],[ALPHA]]^3)/(1-Tableau1[[#This Row],[ALPHA]]^4)</f>
        <v>0.17646879645754246</v>
      </c>
      <c r="AF219" s="1">
        <v>0</v>
      </c>
      <c r="AG219" s="1" t="s">
        <v>53</v>
      </c>
      <c r="AH219" t="s">
        <v>61</v>
      </c>
      <c r="AI219" t="s">
        <v>42</v>
      </c>
      <c r="AJ219" t="s">
        <v>42</v>
      </c>
      <c r="AK219">
        <v>54.7</v>
      </c>
      <c r="AL219">
        <v>60</v>
      </c>
      <c r="AM219">
        <v>3.5769589007342679</v>
      </c>
    </row>
    <row r="220" spans="1:39" x14ac:dyDescent="0.25">
      <c r="A220" t="s">
        <v>260</v>
      </c>
      <c r="B220">
        <v>10</v>
      </c>
      <c r="C220">
        <v>1.5624999999999998</v>
      </c>
      <c r="D220">
        <v>0.77</v>
      </c>
      <c r="E220">
        <v>65535</v>
      </c>
      <c r="F220">
        <v>0.87</v>
      </c>
      <c r="G220">
        <v>0.55999999999999994</v>
      </c>
      <c r="H220" s="3">
        <f t="shared" si="2"/>
        <v>8.3300000000000005E-5</v>
      </c>
      <c r="I220">
        <v>3.7143971907920401E-3</v>
      </c>
      <c r="J220" s="3">
        <f t="shared" si="3"/>
        <v>8.3300000000000005E-5</v>
      </c>
      <c r="K220">
        <v>2.1138845801255512E-3</v>
      </c>
      <c r="L220">
        <v>6.0000000000000001E-3</v>
      </c>
      <c r="M220">
        <v>0.02</v>
      </c>
      <c r="N220" s="3">
        <f>Tableau1[[#This Row],[mH2]]/Tableau1[[#This Row],[rho1]]/(PI()*Tableau1[[#This Row],[d1]]^2/4)</f>
        <v>35.839854154109695</v>
      </c>
      <c r="O220">
        <f>Tableau1[[#This Row],[m2]]/Tableau1[[#This Row],[rho2]]/(PI()/4*(Tableau1[[#This Row],[d2]]^2-(Tableau1[[#This Row],[d1]]+2*0.001)^2))</f>
        <v>11.933658322723501</v>
      </c>
      <c r="P220">
        <v>4</v>
      </c>
      <c r="Q220" t="s">
        <v>165</v>
      </c>
      <c r="R220" s="3">
        <f>Tableau1[[#This Row],[rho1]]*Tableau1[[#This Row],[u1]]*Tableau1[[#This Row],[d1]]/0.0000089385</f>
        <v>1977.6035143189399</v>
      </c>
      <c r="S220">
        <f>Tableau1[[#This Row],[rho2]]*Tableau1[[#This Row],[u2]]*(Tableau1[[#This Row],[d2]]-(Tableau1[[#This Row],[d1]]+2*0.001))/0.0000184725</f>
        <v>9143.5481085196607</v>
      </c>
      <c r="T22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0.5408128342245988</v>
      </c>
      <c r="U220">
        <f>Tableau1[[#This Row],[S2]]/Tableau1[[#This Row],[S1]]*SQRT(Tableau1[[#This Row],[rho1]]/Tableau1[[#This Row],[rho2]])*Tableau1[[#This Row],[J]]^(1/2)*Tableau1[[#This Row],[d2]]/Tableau1[[#This Row],[d1]]</f>
        <v>0.70804022817089063</v>
      </c>
      <c r="V220">
        <v>0.29577464788732394</v>
      </c>
      <c r="W220">
        <v>2.8301886792452827E-2</v>
      </c>
      <c r="X220">
        <v>8.2202757376980351E-2</v>
      </c>
      <c r="Y220">
        <v>1.1794664292299073</v>
      </c>
      <c r="Z220">
        <v>2.0099999999999998</v>
      </c>
      <c r="AA220">
        <v>28.84</v>
      </c>
      <c r="AB220">
        <f>Tableau1[[#This Row],[u2]]/Tableau1[[#This Row],[u1]]</f>
        <v>0.33297173229024118</v>
      </c>
      <c r="AC220">
        <f>ABS(Tableau1[[#This Row],[u2]]-Tableau1[[#This Row],[u1]])</f>
        <v>23.906195831386192</v>
      </c>
      <c r="AD220">
        <f>(Tableau1[[#This Row],[d1]]+0.002)/Tableau1[[#This Row],[d2]]</f>
        <v>0.4</v>
      </c>
      <c r="AE220">
        <f>Tableau1[[#This Row],[S2]]*Tableau1[[#This Row],[u2]]/(Tableau1[[#This Row],[S1]]*Tableau1[[#This Row],[u1]])*(1-Tableau1[[#This Row],[ALPHA]]^3)/(1-Tableau1[[#This Row],[ALPHA]]^4)</f>
        <v>0.20588026253379949</v>
      </c>
      <c r="AF220" s="1">
        <v>0</v>
      </c>
      <c r="AG220" s="1" t="s">
        <v>53</v>
      </c>
      <c r="AH220" t="s">
        <v>54</v>
      </c>
      <c r="AI220" t="s">
        <v>42</v>
      </c>
      <c r="AJ220" t="s">
        <v>42</v>
      </c>
      <c r="AK220">
        <v>42</v>
      </c>
      <c r="AL220">
        <v>44</v>
      </c>
      <c r="AM220">
        <v>2.6231031938717955</v>
      </c>
    </row>
    <row r="221" spans="1:39" x14ac:dyDescent="0.25">
      <c r="A221" t="s">
        <v>261</v>
      </c>
      <c r="B221">
        <v>10</v>
      </c>
      <c r="C221">
        <v>1.5624999999999998</v>
      </c>
      <c r="D221">
        <v>0.77</v>
      </c>
      <c r="E221">
        <v>65535</v>
      </c>
      <c r="F221">
        <v>0.87</v>
      </c>
      <c r="G221">
        <v>0.64000000000000012</v>
      </c>
      <c r="H221" s="3">
        <f t="shared" si="2"/>
        <v>8.3300000000000005E-5</v>
      </c>
      <c r="I221">
        <v>3.7143971907920401E-3</v>
      </c>
      <c r="J221" s="3">
        <f t="shared" si="3"/>
        <v>8.3300000000000005E-5</v>
      </c>
      <c r="K221">
        <v>2.4158680915720588E-3</v>
      </c>
      <c r="L221">
        <v>6.0000000000000001E-3</v>
      </c>
      <c r="M221">
        <v>0.02</v>
      </c>
      <c r="N221" s="3">
        <f>Tableau1[[#This Row],[mH2]]/Tableau1[[#This Row],[rho1]]/(PI()*Tableau1[[#This Row],[d1]]^2/4)</f>
        <v>35.839854154109695</v>
      </c>
      <c r="O221">
        <f>Tableau1[[#This Row],[m2]]/Tableau1[[#This Row],[rho2]]/(PI()/4*(Tableau1[[#This Row],[d2]]^2-(Tableau1[[#This Row],[d1]]+2*0.001)^2))</f>
        <v>11.933658322723501</v>
      </c>
      <c r="P221">
        <v>4</v>
      </c>
      <c r="Q221" t="s">
        <v>165</v>
      </c>
      <c r="R221" s="3">
        <f>Tableau1[[#This Row],[rho1]]*Tableau1[[#This Row],[u1]]*Tableau1[[#This Row],[d1]]/0.0000089385</f>
        <v>1977.6035143189399</v>
      </c>
      <c r="S221">
        <f>Tableau1[[#This Row],[rho2]]*Tableau1[[#This Row],[u2]]*(Tableau1[[#This Row],[d2]]-(Tableau1[[#This Row],[d1]]+2*0.001))/0.0000184725</f>
        <v>9143.5481085196607</v>
      </c>
      <c r="T22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0.6156791443850268</v>
      </c>
      <c r="U221">
        <f>Tableau1[[#This Row],[S2]]/Tableau1[[#This Row],[S1]]*SQRT(Tableau1[[#This Row],[rho1]]/Tableau1[[#This Row],[rho2]])*Tableau1[[#This Row],[J]]^(1/2)*Tableau1[[#This Row],[d2]]/Tableau1[[#This Row],[d1]]</f>
        <v>0.80918883219530358</v>
      </c>
      <c r="V221">
        <v>0.29577464788732394</v>
      </c>
      <c r="W221">
        <v>2.8301886792452827E-2</v>
      </c>
      <c r="X221">
        <v>8.2202757376980351E-2</v>
      </c>
      <c r="Y221">
        <v>1.1794664292299073</v>
      </c>
      <c r="Z221">
        <v>2.0099999999999998</v>
      </c>
      <c r="AA221">
        <v>28.84</v>
      </c>
      <c r="AB221">
        <f>Tableau1[[#This Row],[u2]]/Tableau1[[#This Row],[u1]]</f>
        <v>0.33297173229024118</v>
      </c>
      <c r="AC221">
        <f>ABS(Tableau1[[#This Row],[u2]]-Tableau1[[#This Row],[u1]])</f>
        <v>23.906195831386192</v>
      </c>
      <c r="AD221">
        <f>(Tableau1[[#This Row],[d1]]+0.002)/Tableau1[[#This Row],[d2]]</f>
        <v>0.4</v>
      </c>
      <c r="AE221">
        <f>Tableau1[[#This Row],[S2]]*Tableau1[[#This Row],[u2]]/(Tableau1[[#This Row],[S1]]*Tableau1[[#This Row],[u1]])*(1-Tableau1[[#This Row],[ALPHA]]^3)/(1-Tableau1[[#This Row],[ALPHA]]^4)</f>
        <v>0.23529172861005662</v>
      </c>
      <c r="AF221" s="1">
        <v>1</v>
      </c>
      <c r="AG221" s="1" t="s">
        <v>40</v>
      </c>
      <c r="AH221" t="s">
        <v>41</v>
      </c>
      <c r="AI221" t="s">
        <v>42</v>
      </c>
      <c r="AJ221" t="s">
        <v>42</v>
      </c>
      <c r="AK221">
        <v>30.6</v>
      </c>
      <c r="AL221">
        <v>31.8</v>
      </c>
      <c r="AM221">
        <v>1.8957882173891618</v>
      </c>
    </row>
    <row r="222" spans="1:39" x14ac:dyDescent="0.25">
      <c r="A222" t="s">
        <v>262</v>
      </c>
      <c r="B222">
        <v>10</v>
      </c>
      <c r="C222">
        <v>1.2345679012345678</v>
      </c>
      <c r="D222">
        <v>0.86</v>
      </c>
      <c r="E222">
        <v>65535</v>
      </c>
      <c r="F222">
        <v>0.87</v>
      </c>
      <c r="G222">
        <v>0.48</v>
      </c>
      <c r="H222" s="3">
        <f t="shared" si="2"/>
        <v>8.3300000000000005E-5</v>
      </c>
      <c r="I222">
        <v>3.3256812057091524E-3</v>
      </c>
      <c r="J222" s="3">
        <f t="shared" si="3"/>
        <v>8.3300000000000005E-5</v>
      </c>
      <c r="K222">
        <v>1.6222835149800742E-3</v>
      </c>
      <c r="L222">
        <v>6.0000000000000001E-3</v>
      </c>
      <c r="M222">
        <v>0.02</v>
      </c>
      <c r="N222" s="3">
        <f>Tableau1[[#This Row],[mH2]]/Tableau1[[#This Row],[rho1]]/(PI()*Tableau1[[#This Row],[d1]]^2/4)</f>
        <v>35.839854154109695</v>
      </c>
      <c r="O222">
        <f>Tableau1[[#This Row],[m2]]/Tableau1[[#This Row],[rho2]]/(PI()/4*(Tableau1[[#This Row],[d2]]^2-(Tableau1[[#This Row],[d1]]+2*0.001)^2))</f>
        <v>10.6847871029036</v>
      </c>
      <c r="P222">
        <v>4</v>
      </c>
      <c r="Q222" t="s">
        <v>165</v>
      </c>
      <c r="R222" s="3">
        <f>Tableau1[[#This Row],[rho1]]*Tableau1[[#This Row],[u1]]*Tableau1[[#This Row],[d1]]/0.0000089385</f>
        <v>1977.6035143189399</v>
      </c>
      <c r="S222">
        <f>Tableau1[[#This Row],[rho2]]*Tableau1[[#This Row],[u2]]*(Tableau1[[#This Row],[d2]]-(Tableau1[[#This Row],[d1]]+2*0.001))/0.0000184725</f>
        <v>8186.6651669303938</v>
      </c>
      <c r="T22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0.4625116661189615</v>
      </c>
      <c r="U222">
        <f>Tableau1[[#This Row],[S2]]/Tableau1[[#This Row],[S1]]*SQRT(Tableau1[[#This Row],[rho1]]/Tableau1[[#This Row],[rho2]])*Tableau1[[#This Row],[J]]^(1/2)*Tableau1[[#This Row],[d2]]/Tableau1[[#This Row],[d1]]</f>
        <v>0.53945922146353564</v>
      </c>
      <c r="V222">
        <v>0.29577464788732394</v>
      </c>
      <c r="W222">
        <v>2.8301886792452827E-2</v>
      </c>
      <c r="X222">
        <v>8.2202757376980351E-2</v>
      </c>
      <c r="Y222">
        <v>1.1794664292299073</v>
      </c>
      <c r="Z222">
        <v>2.0099999999999998</v>
      </c>
      <c r="AA222">
        <v>28.84</v>
      </c>
      <c r="AB222">
        <f>Tableau1[[#This Row],[u2]]/Tableau1[[#This Row],[u1]]</f>
        <v>0.29812585332963454</v>
      </c>
      <c r="AC222">
        <f>ABS(Tableau1[[#This Row],[u2]]-Tableau1[[#This Row],[u1]])</f>
        <v>25.155067051206096</v>
      </c>
      <c r="AD222">
        <f>(Tableau1[[#This Row],[d1]]+0.002)/Tableau1[[#This Row],[d2]]</f>
        <v>0.4</v>
      </c>
      <c r="AE222">
        <f>Tableau1[[#This Row],[S2]]*Tableau1[[#This Row],[u2]]/(Tableau1[[#This Row],[S1]]*Tableau1[[#This Row],[u1]])*(1-Tableau1[[#This Row],[ALPHA]]^3)/(1-Tableau1[[#This Row],[ALPHA]]^4)</f>
        <v>0.15800113171198568</v>
      </c>
      <c r="AF222" s="1">
        <v>0</v>
      </c>
      <c r="AG222" s="1" t="s">
        <v>53</v>
      </c>
      <c r="AH222" t="s">
        <v>61</v>
      </c>
      <c r="AI222" t="s">
        <v>42</v>
      </c>
      <c r="AJ222" t="s">
        <v>42</v>
      </c>
      <c r="AK222">
        <v>54.3</v>
      </c>
      <c r="AL222">
        <v>59</v>
      </c>
      <c r="AM222">
        <v>3.0782098913996312</v>
      </c>
    </row>
    <row r="223" spans="1:39" x14ac:dyDescent="0.25">
      <c r="A223" t="s">
        <v>263</v>
      </c>
      <c r="B223">
        <v>10</v>
      </c>
      <c r="C223">
        <v>1.2345679012345678</v>
      </c>
      <c r="D223">
        <v>0.87</v>
      </c>
      <c r="E223">
        <v>65535</v>
      </c>
      <c r="F223">
        <v>0.87</v>
      </c>
      <c r="G223">
        <v>0.55999999999999994</v>
      </c>
      <c r="H223" s="3">
        <f t="shared" si="2"/>
        <v>8.3300000000000005E-5</v>
      </c>
      <c r="I223">
        <v>3.287454984953875E-3</v>
      </c>
      <c r="J223" s="3">
        <f t="shared" si="3"/>
        <v>8.3300000000000005E-5</v>
      </c>
      <c r="K223">
        <v>1.8709093410306603E-3</v>
      </c>
      <c r="L223">
        <v>6.0000000000000001E-3</v>
      </c>
      <c r="M223">
        <v>0.02</v>
      </c>
      <c r="N223" s="3">
        <f>Tableau1[[#This Row],[mH2]]/Tableau1[[#This Row],[rho1]]/(PI()*Tableau1[[#This Row],[d1]]^2/4)</f>
        <v>35.839854154109695</v>
      </c>
      <c r="O223">
        <f>Tableau1[[#This Row],[m2]]/Tableau1[[#This Row],[rho2]]/(PI()/4*(Tableau1[[#This Row],[d2]]^2-(Tableau1[[#This Row],[d1]]+2*0.001)^2))</f>
        <v>10.56197345804264</v>
      </c>
      <c r="P223">
        <v>4</v>
      </c>
      <c r="Q223" t="s">
        <v>165</v>
      </c>
      <c r="R223" s="3">
        <f>Tableau1[[#This Row],[rho1]]*Tableau1[[#This Row],[u1]]*Tableau1[[#This Row],[d1]]/0.0000089385</f>
        <v>1977.6035143189399</v>
      </c>
      <c r="S223">
        <f>Tableau1[[#This Row],[rho2]]*Tableau1[[#This Row],[u2]]*(Tableau1[[#This Row],[d2]]-(Tableau1[[#This Row],[d1]]+2*0.001))/0.0000184725</f>
        <v>8092.5655673105057</v>
      </c>
      <c r="T22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0.53612323365100223</v>
      </c>
      <c r="U223">
        <f>Tableau1[[#This Row],[S2]]/Tableau1[[#This Row],[S1]]*SQRT(Tableau1[[#This Row],[rho1]]/Tableau1[[#This Row],[rho2]])*Tableau1[[#This Row],[J]]^(1/2)*Tableau1[[#This Row],[d2]]/Tableau1[[#This Row],[d1]]</f>
        <v>0.62936909170745825</v>
      </c>
      <c r="V223">
        <v>0.29577464788732394</v>
      </c>
      <c r="W223">
        <v>2.8301886792452827E-2</v>
      </c>
      <c r="X223">
        <v>8.2202757376980351E-2</v>
      </c>
      <c r="Y223">
        <v>1.1794664292299073</v>
      </c>
      <c r="Z223">
        <v>2.0099999999999998</v>
      </c>
      <c r="AA223">
        <v>28.84</v>
      </c>
      <c r="AB223">
        <f>Tableau1[[#This Row],[u2]]/Tableau1[[#This Row],[u1]]</f>
        <v>0.29469911938331694</v>
      </c>
      <c r="AC223">
        <f>ABS(Tableau1[[#This Row],[u2]]-Tableau1[[#This Row],[u1]])</f>
        <v>25.277880696067054</v>
      </c>
      <c r="AD223">
        <f>(Tableau1[[#This Row],[d1]]+0.002)/Tableau1[[#This Row],[d2]]</f>
        <v>0.4</v>
      </c>
      <c r="AE223">
        <f>Tableau1[[#This Row],[S2]]*Tableau1[[#This Row],[u2]]/(Tableau1[[#This Row],[S1]]*Tableau1[[#This Row],[u1]])*(1-Tableau1[[#This Row],[ALPHA]]^3)/(1-Tableau1[[#This Row],[ALPHA]]^4)</f>
        <v>0.18221586454140878</v>
      </c>
      <c r="AF223" s="1">
        <v>0</v>
      </c>
      <c r="AG223" s="1" t="s">
        <v>53</v>
      </c>
      <c r="AH223" t="s">
        <v>54</v>
      </c>
      <c r="AI223" t="s">
        <v>42</v>
      </c>
      <c r="AJ223" t="s">
        <v>42</v>
      </c>
      <c r="AK223">
        <v>44.8</v>
      </c>
      <c r="AL223">
        <v>46.5</v>
      </c>
      <c r="AM223">
        <v>2.3920117672691887</v>
      </c>
    </row>
    <row r="224" spans="1:39" x14ac:dyDescent="0.25">
      <c r="A224" t="s">
        <v>264</v>
      </c>
      <c r="B224">
        <v>10</v>
      </c>
      <c r="C224">
        <v>1.2345679012345678</v>
      </c>
      <c r="D224">
        <v>0.86799999999999999</v>
      </c>
      <c r="E224">
        <v>65535</v>
      </c>
      <c r="F224">
        <v>0.87</v>
      </c>
      <c r="G224">
        <v>0.64000000000000012</v>
      </c>
      <c r="H224" s="3">
        <f t="shared" si="2"/>
        <v>8.3300000000000005E-5</v>
      </c>
      <c r="I224">
        <v>3.2950297660251969E-3</v>
      </c>
      <c r="J224" s="3">
        <f t="shared" si="3"/>
        <v>8.3300000000000005E-5</v>
      </c>
      <c r="K224">
        <v>2.1431087909106975E-3</v>
      </c>
      <c r="L224">
        <v>6.0000000000000001E-3</v>
      </c>
      <c r="M224">
        <v>0.02</v>
      </c>
      <c r="N224" s="3">
        <f>Tableau1[[#This Row],[mH2]]/Tableau1[[#This Row],[rho1]]/(PI()*Tableau1[[#This Row],[d1]]^2/4)</f>
        <v>35.839854154109695</v>
      </c>
      <c r="O224">
        <f>Tableau1[[#This Row],[m2]]/Tableau1[[#This Row],[rho2]]/(PI()/4*(Tableau1[[#This Row],[d2]]^2-(Tableau1[[#This Row],[d1]]+2*0.001)^2))</f>
        <v>10.586309802416009</v>
      </c>
      <c r="P224">
        <v>4</v>
      </c>
      <c r="Q224" t="s">
        <v>165</v>
      </c>
      <c r="R224" s="3">
        <f>Tableau1[[#This Row],[rho1]]*Tableau1[[#This Row],[u1]]*Tableau1[[#This Row],[d1]]/0.0000089385</f>
        <v>1977.6035143189399</v>
      </c>
      <c r="S224">
        <f>Tableau1[[#This Row],[rho2]]*Tableau1[[#This Row],[u2]]*(Tableau1[[#This Row],[d2]]-(Tableau1[[#This Row],[d1]]+2*0.001))/0.0000184725</f>
        <v>8111.2120317513136</v>
      </c>
      <c r="T22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0.60973480118304313</v>
      </c>
      <c r="U224">
        <f>Tableau1[[#This Row],[S2]]/Tableau1[[#This Row],[S1]]*SQRT(Tableau1[[#This Row],[rho1]]/Tableau1[[#This Row],[rho2]])*Tableau1[[#This Row],[J]]^(1/2)*Tableau1[[#This Row],[d2]]/Tableau1[[#This Row],[d1]]</f>
        <v>0.71927896195138097</v>
      </c>
      <c r="V224">
        <v>0.29577464788732394</v>
      </c>
      <c r="W224">
        <v>2.8301886792452827E-2</v>
      </c>
      <c r="X224">
        <v>8.2202757376980351E-2</v>
      </c>
      <c r="Y224">
        <v>1.1794664292299073</v>
      </c>
      <c r="Z224">
        <v>2.0099999999999998</v>
      </c>
      <c r="AA224">
        <v>28.84</v>
      </c>
      <c r="AB224">
        <f>Tableau1[[#This Row],[u2]]/Tableau1[[#This Row],[u1]]</f>
        <v>0.29537814961231074</v>
      </c>
      <c r="AC224">
        <f>ABS(Tableau1[[#This Row],[u2]]-Tableau1[[#This Row],[u1]])</f>
        <v>25.253544351693684</v>
      </c>
      <c r="AD224">
        <f>(Tableau1[[#This Row],[d1]]+0.002)/Tableau1[[#This Row],[d2]]</f>
        <v>0.4</v>
      </c>
      <c r="AE224">
        <f>Tableau1[[#This Row],[S2]]*Tableau1[[#This Row],[u2]]/(Tableau1[[#This Row],[S1]]*Tableau1[[#This Row],[u1]])*(1-Tableau1[[#This Row],[ALPHA]]^3)/(1-Tableau1[[#This Row],[ALPHA]]^4)</f>
        <v>0.20872653344440509</v>
      </c>
      <c r="AF224" s="1">
        <v>1</v>
      </c>
      <c r="AG224" s="1" t="s">
        <v>40</v>
      </c>
      <c r="AH224" t="s">
        <v>41</v>
      </c>
      <c r="AI224" t="s">
        <v>42</v>
      </c>
      <c r="AJ224" t="s">
        <v>42</v>
      </c>
      <c r="AK224">
        <v>34</v>
      </c>
      <c r="AL224">
        <v>34.700000000000003</v>
      </c>
      <c r="AM224">
        <v>1.7900394476095973</v>
      </c>
    </row>
    <row r="225" spans="1:39" x14ac:dyDescent="0.25">
      <c r="A225" t="s">
        <v>206</v>
      </c>
      <c r="B225">
        <v>10</v>
      </c>
      <c r="C225">
        <v>6.2499999999999991</v>
      </c>
      <c r="D225">
        <v>0.39</v>
      </c>
      <c r="E225">
        <v>65535</v>
      </c>
      <c r="F225">
        <v>0</v>
      </c>
      <c r="G225">
        <v>0.55999999999999994</v>
      </c>
      <c r="H225" s="3">
        <f t="shared" si="2"/>
        <v>8.3300000000000005E-5</v>
      </c>
      <c r="I225">
        <v>7.3335534279740282E-3</v>
      </c>
      <c r="J225" s="3">
        <f t="shared" si="3"/>
        <v>8.3300000000000005E-5</v>
      </c>
      <c r="K225">
        <v>4.1735669915299346E-3</v>
      </c>
      <c r="L225">
        <v>6.0000000000000001E-3</v>
      </c>
      <c r="M225">
        <v>0.02</v>
      </c>
      <c r="N225" s="3">
        <f>Tableau1[[#This Row],[mH2]]/Tableau1[[#This Row],[rho1]]/(PI()*Tableau1[[#This Row],[d1]]^2/4)</f>
        <v>35.839854154109695</v>
      </c>
      <c r="O225">
        <f>Tableau1[[#This Row],[m2]]/Tableau1[[#This Row],[rho2]]/(PI()/4*(Tableau1[[#This Row],[d2]]^2-(Tableau1[[#This Row],[d1]]+2*0.001)^2))</f>
        <v>23.561325406402812</v>
      </c>
      <c r="P225">
        <v>4</v>
      </c>
      <c r="Q225" t="s">
        <v>165</v>
      </c>
      <c r="R225" s="3">
        <f>Tableau1[[#This Row],[rho1]]*Tableau1[[#This Row],[u1]]*Tableau1[[#This Row],[d1]]/0.0000089385</f>
        <v>1977.6035143189399</v>
      </c>
      <c r="S225">
        <f>Tableau1[[#This Row],[rho2]]*Tableau1[[#This Row],[u2]]*(Tableau1[[#This Row],[d2]]-(Tableau1[[#This Row],[d1]]+2*0.001))/0.0000184725</f>
        <v>18052.64626553882</v>
      </c>
      <c r="T22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0.55056179775280889</v>
      </c>
      <c r="U225" t="e">
        <f>Tableau1[[#This Row],[S2]]/Tableau1[[#This Row],[S1]]*SQRT(Tableau1[[#This Row],[rho1]]/Tableau1[[#This Row],[rho2]])*Tableau1[[#This Row],[J]]^(1/2)*Tableau1[[#This Row],[d2]]/Tableau1[[#This Row],[d1]]</f>
        <v>#DIV/0!</v>
      </c>
      <c r="V225">
        <v>0.29577464788732394</v>
      </c>
      <c r="W225">
        <v>2.8301886792452827E-2</v>
      </c>
      <c r="X225">
        <v>8.2202757376980351E-2</v>
      </c>
      <c r="Y225">
        <v>1.1794664292299073</v>
      </c>
      <c r="Z225">
        <v>2.0099999999999998</v>
      </c>
      <c r="AA225">
        <v>28.84</v>
      </c>
      <c r="AB225">
        <f>Tableau1[[#This Row],[u2]]/Tableau1[[#This Row],[u1]]</f>
        <v>0.65740572785509155</v>
      </c>
      <c r="AC225">
        <f>ABS(Tableau1[[#This Row],[u2]]-Tableau1[[#This Row],[u1]])</f>
        <v>12.278528747706883</v>
      </c>
      <c r="AD225">
        <f>(Tableau1[[#This Row],[d1]]+0.002)/Tableau1[[#This Row],[d2]]</f>
        <v>0.4</v>
      </c>
      <c r="AE225" t="e">
        <f>Tableau1[[#This Row],[S2]]*Tableau1[[#This Row],[u2]]/(Tableau1[[#This Row],[S1]]*Tableau1[[#This Row],[u1]])*(1-Tableau1[[#This Row],[ALPHA]]^3)/(1-Tableau1[[#This Row],[ALPHA]]^4)</f>
        <v>#DIV/0!</v>
      </c>
      <c r="AF225" s="1">
        <v>1</v>
      </c>
      <c r="AG225" s="1" t="s">
        <v>40</v>
      </c>
      <c r="AH225" t="s">
        <v>41</v>
      </c>
      <c r="AI225" t="s">
        <v>42</v>
      </c>
      <c r="AJ225" t="s">
        <v>42</v>
      </c>
      <c r="AK225">
        <v>18.100000000000001</v>
      </c>
      <c r="AL225">
        <v>19</v>
      </c>
      <c r="AM225">
        <v>2.4493619094773127</v>
      </c>
    </row>
    <row r="226" spans="1:39" x14ac:dyDescent="0.25">
      <c r="A226" t="s">
        <v>207</v>
      </c>
      <c r="B226">
        <v>10</v>
      </c>
      <c r="C226">
        <v>6.2499999999999991</v>
      </c>
      <c r="D226">
        <v>0.39</v>
      </c>
      <c r="E226">
        <v>65535</v>
      </c>
      <c r="F226">
        <v>0</v>
      </c>
      <c r="G226">
        <v>0.64000000000000012</v>
      </c>
      <c r="H226" s="3">
        <f t="shared" si="2"/>
        <v>8.3300000000000005E-5</v>
      </c>
      <c r="I226">
        <v>7.3335534279740282E-3</v>
      </c>
      <c r="J226" s="3">
        <f t="shared" si="3"/>
        <v>8.3300000000000005E-5</v>
      </c>
      <c r="K226">
        <v>4.7697908474627834E-3</v>
      </c>
      <c r="L226">
        <v>6.0000000000000001E-3</v>
      </c>
      <c r="M226">
        <v>0.02</v>
      </c>
      <c r="N226" s="3">
        <f>Tableau1[[#This Row],[mH2]]/Tableau1[[#This Row],[rho1]]/(PI()*Tableau1[[#This Row],[d1]]^2/4)</f>
        <v>35.839854154109695</v>
      </c>
      <c r="O226">
        <f>Tableau1[[#This Row],[m2]]/Tableau1[[#This Row],[rho2]]/(PI()/4*(Tableau1[[#This Row],[d2]]^2-(Tableau1[[#This Row],[d1]]+2*0.001)^2))</f>
        <v>23.561325406402812</v>
      </c>
      <c r="P226">
        <v>4</v>
      </c>
      <c r="Q226" t="s">
        <v>165</v>
      </c>
      <c r="R226" s="3">
        <f>Tableau1[[#This Row],[rho1]]*Tableau1[[#This Row],[u1]]*Tableau1[[#This Row],[d1]]/0.0000089385</f>
        <v>1977.6035143189399</v>
      </c>
      <c r="S226">
        <f>Tableau1[[#This Row],[rho2]]*Tableau1[[#This Row],[u2]]*(Tableau1[[#This Row],[d2]]-(Tableau1[[#This Row],[d1]]+2*0.001))/0.0000184725</f>
        <v>18052.64626553882</v>
      </c>
      <c r="T22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0.62921348314606751</v>
      </c>
      <c r="U226" t="e">
        <f>Tableau1[[#This Row],[S2]]/Tableau1[[#This Row],[S1]]*SQRT(Tableau1[[#This Row],[rho1]]/Tableau1[[#This Row],[rho2]])*Tableau1[[#This Row],[J]]^(1/2)*Tableau1[[#This Row],[d2]]/Tableau1[[#This Row],[d1]]</f>
        <v>#DIV/0!</v>
      </c>
      <c r="V226">
        <v>0.29577464788732394</v>
      </c>
      <c r="W226">
        <v>2.8301886792452827E-2</v>
      </c>
      <c r="X226">
        <v>8.2202757376980351E-2</v>
      </c>
      <c r="Y226">
        <v>1.1794664292299073</v>
      </c>
      <c r="Z226">
        <v>2.0099999999999998</v>
      </c>
      <c r="AA226">
        <v>28.84</v>
      </c>
      <c r="AB226">
        <f>Tableau1[[#This Row],[u2]]/Tableau1[[#This Row],[u1]]</f>
        <v>0.65740572785509155</v>
      </c>
      <c r="AC226">
        <f>ABS(Tableau1[[#This Row],[u2]]-Tableau1[[#This Row],[u1]])</f>
        <v>12.278528747706883</v>
      </c>
      <c r="AD226">
        <f>(Tableau1[[#This Row],[d1]]+0.002)/Tableau1[[#This Row],[d2]]</f>
        <v>0.4</v>
      </c>
      <c r="AE226" t="e">
        <f>Tableau1[[#This Row],[S2]]*Tableau1[[#This Row],[u2]]/(Tableau1[[#This Row],[S1]]*Tableau1[[#This Row],[u1]])*(1-Tableau1[[#This Row],[ALPHA]]^3)/(1-Tableau1[[#This Row],[ALPHA]]^4)</f>
        <v>#DIV/0!</v>
      </c>
      <c r="AF226" s="1">
        <v>1</v>
      </c>
      <c r="AG226" s="1" t="s">
        <v>40</v>
      </c>
      <c r="AH226" t="s">
        <v>41</v>
      </c>
      <c r="AI226" t="s">
        <v>42</v>
      </c>
      <c r="AJ226" t="s">
        <v>42</v>
      </c>
      <c r="AK226">
        <v>11.2</v>
      </c>
      <c r="AL226">
        <v>12.4</v>
      </c>
      <c r="AM226">
        <v>1.5985309303957198</v>
      </c>
    </row>
    <row r="227" spans="1:39" x14ac:dyDescent="0.25">
      <c r="A227" t="s">
        <v>208</v>
      </c>
      <c r="B227">
        <v>10</v>
      </c>
      <c r="C227">
        <v>4</v>
      </c>
      <c r="D227">
        <v>0.48</v>
      </c>
      <c r="E227">
        <v>65535</v>
      </c>
      <c r="F227">
        <v>0</v>
      </c>
      <c r="G227">
        <v>0.55999999999999994</v>
      </c>
      <c r="H227" s="3">
        <f t="shared" si="2"/>
        <v>8.3300000000000005E-5</v>
      </c>
      <c r="I227">
        <v>5.9585121602288987E-3</v>
      </c>
      <c r="J227" s="3">
        <f t="shared" si="3"/>
        <v>8.3300000000000005E-5</v>
      </c>
      <c r="K227">
        <v>3.3910231806180721E-3</v>
      </c>
      <c r="L227">
        <v>6.0000000000000001E-3</v>
      </c>
      <c r="M227">
        <v>0.02</v>
      </c>
      <c r="N227" s="3">
        <f>Tableau1[[#This Row],[mH2]]/Tableau1[[#This Row],[rho1]]/(PI()*Tableau1[[#This Row],[d1]]^2/4)</f>
        <v>35.839854154109695</v>
      </c>
      <c r="O227">
        <f>Tableau1[[#This Row],[m2]]/Tableau1[[#This Row],[rho2]]/(PI()/4*(Tableau1[[#This Row],[d2]]^2-(Tableau1[[#This Row],[d1]]+2*0.001)^2))</f>
        <v>19.143576892702285</v>
      </c>
      <c r="P227">
        <v>4</v>
      </c>
      <c r="Q227" t="s">
        <v>165</v>
      </c>
      <c r="R227" s="3">
        <f>Tableau1[[#This Row],[rho1]]*Tableau1[[#This Row],[u1]]*Tableau1[[#This Row],[d1]]/0.0000089385</f>
        <v>1977.6035143189399</v>
      </c>
      <c r="S227">
        <f>Tableau1[[#This Row],[rho2]]*Tableau1[[#This Row],[u2]]*(Tableau1[[#This Row],[d2]]-(Tableau1[[#This Row],[d1]]+2*0.001))/0.0000184725</f>
        <v>14667.77509075029</v>
      </c>
      <c r="T22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0.54539130434782601</v>
      </c>
      <c r="U227" t="e">
        <f>Tableau1[[#This Row],[S2]]/Tableau1[[#This Row],[S1]]*SQRT(Tableau1[[#This Row],[rho1]]/Tableau1[[#This Row],[rho2]])*Tableau1[[#This Row],[J]]^(1/2)*Tableau1[[#This Row],[d2]]/Tableau1[[#This Row],[d1]]</f>
        <v>#DIV/0!</v>
      </c>
      <c r="V227">
        <v>0.29577464788732394</v>
      </c>
      <c r="W227">
        <v>2.8301886792452827E-2</v>
      </c>
      <c r="X227">
        <v>8.2202757376980351E-2</v>
      </c>
      <c r="Y227">
        <v>1.1794664292299073</v>
      </c>
      <c r="Z227">
        <v>2.0099999999999998</v>
      </c>
      <c r="AA227">
        <v>28.84</v>
      </c>
      <c r="AB227">
        <f>Tableau1[[#This Row],[u2]]/Tableau1[[#This Row],[u1]]</f>
        <v>0.53414215388226194</v>
      </c>
      <c r="AC227">
        <f>ABS(Tableau1[[#This Row],[u2]]-Tableau1[[#This Row],[u1]])</f>
        <v>16.69627726140741</v>
      </c>
      <c r="AD227">
        <f>(Tableau1[[#This Row],[d1]]+0.002)/Tableau1[[#This Row],[d2]]</f>
        <v>0.4</v>
      </c>
      <c r="AE227" t="e">
        <f>Tableau1[[#This Row],[S2]]*Tableau1[[#This Row],[u2]]/(Tableau1[[#This Row],[S1]]*Tableau1[[#This Row],[u1]])*(1-Tableau1[[#This Row],[ALPHA]]^3)/(1-Tableau1[[#This Row],[ALPHA]]^4)</f>
        <v>#DIV/0!</v>
      </c>
      <c r="AF227" s="1">
        <v>1</v>
      </c>
      <c r="AG227" s="1" t="s">
        <v>40</v>
      </c>
      <c r="AH227" t="s">
        <v>41</v>
      </c>
      <c r="AI227" t="s">
        <v>42</v>
      </c>
      <c r="AJ227" t="s">
        <v>42</v>
      </c>
      <c r="AK227">
        <v>19.8</v>
      </c>
      <c r="AL227">
        <v>20.6</v>
      </c>
      <c r="AM227">
        <v>2.1132545043000674</v>
      </c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01DDC9E19EBC45B55DF2C26989CCD6" ma:contentTypeVersion="3" ma:contentTypeDescription="Crée un document." ma:contentTypeScope="" ma:versionID="146b89a2a7d61d8bd05a61d9a0494738">
  <xsd:schema xmlns:xsd="http://www.w3.org/2001/XMLSchema" xmlns:xs="http://www.w3.org/2001/XMLSchema" xmlns:p="http://schemas.microsoft.com/office/2006/metadata/properties" xmlns:ns2="befea7ac-923f-47e5-8098-55a776eee8c7" targetNamespace="http://schemas.microsoft.com/office/2006/metadata/properties" ma:root="true" ma:fieldsID="39a9183673588498ce2e18b49545c2e4" ns2:_="">
    <xsd:import namespace="befea7ac-923f-47e5-8098-55a776eee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ea7ac-923f-47e5-8098-55a776eee8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C7CB34-1097-4F85-B769-EC8CCA7D09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B55BFE8-553A-443E-97D3-E10C3D983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fea7ac-923f-47e5-8098-55a776eee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5F5A30-FB4F-4F7E-B826-BB4A377D17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Leroy</dc:creator>
  <cp:keywords/>
  <dc:description/>
  <cp:lastModifiedBy>Chong Hui Feng (Student at CentraleSupelec)</cp:lastModifiedBy>
  <cp:revision/>
  <dcterms:created xsi:type="dcterms:W3CDTF">2023-05-10T09:19:19Z</dcterms:created>
  <dcterms:modified xsi:type="dcterms:W3CDTF">2026-01-29T10:25:50Z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0x0101009601DDC9E19EBC45B55DF2C26989CCD6</vt:lpwstr>
  </property>
</Properties>
</file>