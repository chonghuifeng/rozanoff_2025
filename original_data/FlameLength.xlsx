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c\Documents\Projets\rozanoff-hydrogen-burner\data\"/>
    </mc:Choice>
  </mc:AlternateContent>
  <xr:revisionPtr revIDLastSave="0" documentId="13_ncr:1_{751BAF8F-9C31-43EB-8A8C-4041088B8A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ngth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8" l="1"/>
  <c r="B61" i="8"/>
  <c r="B59" i="8"/>
  <c r="B55" i="8"/>
  <c r="B50" i="8"/>
  <c r="B49" i="8"/>
  <c r="B45" i="8"/>
  <c r="B42" i="8"/>
  <c r="B34" i="8"/>
  <c r="B33" i="8"/>
  <c r="B32" i="8"/>
  <c r="B15" i="8"/>
</calcChain>
</file>

<file path=xl/sharedStrings.xml><?xml version="1.0" encoding="utf-8"?>
<sst xmlns="http://schemas.openxmlformats.org/spreadsheetml/2006/main" count="68" uniqueCount="65">
  <si>
    <t>Name</t>
  </si>
  <si>
    <t>LFNO6-PHI04-PREINF-20221123</t>
  </si>
  <si>
    <t>LFNO6-PHI045-PREINF-20221123</t>
  </si>
  <si>
    <t>LFNO6-PHI035-PREINF-20221124</t>
  </si>
  <si>
    <t>LFNO6-PHI045-PRE6-20221123</t>
  </si>
  <si>
    <t>LFNO10-PHI045-PRE6-20221124</t>
  </si>
  <si>
    <t>LFNO6-PHI035-PRE6-20221124</t>
  </si>
  <si>
    <t>LFNO10-PHI035-PRE6-20221124</t>
  </si>
  <si>
    <t>LFNO10-PHI04-PRE6-20221124</t>
  </si>
  <si>
    <t>LFNO6-PHI04-PRE6-20221124</t>
  </si>
  <si>
    <t>LFNO6-PHI04-PRE35-PW10-20221201</t>
  </si>
  <si>
    <t>LFNO6-PHI04-PRE30-PW10-20221201</t>
  </si>
  <si>
    <t>LFNO6-PHI04-PRE25-PW10-20221201</t>
  </si>
  <si>
    <t>LFNO6-PHI04-PRE225-PW10-20221205</t>
  </si>
  <si>
    <t>LFNO6-PHI04-PRE2-PW5-20221125</t>
  </si>
  <si>
    <t>LFNO6-PHI04-PRE2-PW15-20221125</t>
  </si>
  <si>
    <t>LFNO6-PHI04-PRE2-20221123</t>
  </si>
  <si>
    <t>LFNO6-PHI035-PRE2-20221123</t>
  </si>
  <si>
    <t>LFNO6-PHI045-PRE2-20221123</t>
  </si>
  <si>
    <t>LFNO10-PHI04-PRE2-PW15-20221208</t>
  </si>
  <si>
    <t>LFNO10-PHI04-PRE2-PW65-20221208</t>
  </si>
  <si>
    <t>LFNO10-PHI035-PRE2-20221124</t>
  </si>
  <si>
    <t>LFNO10-PHI04-PRE2-20221124</t>
  </si>
  <si>
    <t>LFNO10-PHI045-PRE2-20221124</t>
  </si>
  <si>
    <t>D10-Db15-PW10-PHI35-PRE2-S129-S204-20230208</t>
  </si>
  <si>
    <t>D10-Db15-PW10-PHI35-PRE2-S129-S202-20230208</t>
  </si>
  <si>
    <t>D10-Db15-PW10-PHI35-PRE2-S129-S20-20230208</t>
  </si>
  <si>
    <t>D10-PW10-PHI35-PRE2-S129-S210-20230203</t>
  </si>
  <si>
    <t>D10-PW10-PHI35-PRE2-S129-S208-20230203</t>
  </si>
  <si>
    <t>D10-PW10-PHI35-PRE2-S129-S206-20230203</t>
  </si>
  <si>
    <t>D10-PW10-PHI35-PRE2-S129-S204-20230203</t>
  </si>
  <si>
    <t>D10-PW10-PHI35-PRE2-S129-S202-20230202</t>
  </si>
  <si>
    <t>D10-PW10-PHI35-PRE2-S129-S20-20230202</t>
  </si>
  <si>
    <t>D10-PW10-PHI35-PRE2-S10-S210-20230202</t>
  </si>
  <si>
    <t>D10-PW10-PHI35-PRE2-S10-S208-20230130</t>
  </si>
  <si>
    <t>D10-PW10-PHI35-PRE2-S10-S206-20230130</t>
  </si>
  <si>
    <t>D10-PW10-PHI35-PRE2-S10-S204-20230130</t>
  </si>
  <si>
    <t>D10-PW10-PHI35-PRE2-S10-S202-20230130</t>
  </si>
  <si>
    <t>D10-Db15-PW10-PHI35-PRE3-S16-S2077-20230517</t>
  </si>
  <si>
    <t>D10-Db15-PW10-PHI35-PRE4-S16-S206-20230517</t>
  </si>
  <si>
    <t>D10-Db15-PW10-PHI35-PRE4-S16-S206-better-20230517</t>
  </si>
  <si>
    <t>D10-Db20-PW10-PHI35-PRE23-S16-S209-20230512</t>
  </si>
  <si>
    <t>D10-Db20-PW10-PHI35-PRE6-S16-S209-20230512</t>
  </si>
  <si>
    <t>D6-Db15-PW10-PHI35-PRE2-S129-S208-20230522</t>
  </si>
  <si>
    <t>D6-Db15-PW10-PHI35-PRE2-S16-S20-20230512</t>
  </si>
  <si>
    <t>D6-Db15-PW10-PHI35-PRE2-S16-S2085-20230512</t>
  </si>
  <si>
    <t>D6-Db15-PW10-PHI35-PRE2-S16-S2092-20230512</t>
  </si>
  <si>
    <t>D6-Db15-PW10-PHI35-PRE6-S129-S208-20230522-B</t>
  </si>
  <si>
    <t>D6-Db15-PW10-PHI35-PRE6-S129-S208-20230522</t>
  </si>
  <si>
    <t>D6-Db15-PW10-PHI35-PRE6-S16-S209-20230512</t>
  </si>
  <si>
    <t>D10-PW10-PHI35-PRE2-S187-S20-20230308</t>
  </si>
  <si>
    <t>D10-PW10-PHI35-PRE2-S187-S202-20230308</t>
  </si>
  <si>
    <t>D10-PW10-PHI35-PRE2-S187-S204-20230308</t>
  </si>
  <si>
    <t>D10-PW10-PHI35-PRE2-S187-S206-20230308</t>
  </si>
  <si>
    <t>D10-Db15-PW10-PHI35-PRE2-S10-S210-20230310</t>
  </si>
  <si>
    <t>D10-Db15-PW10-PHI35-PRE2-S129-S206-20230314</t>
  </si>
  <si>
    <t>D10-Db15-PW10-PHI35-PRE2-S129-S208-20230314</t>
  </si>
  <si>
    <t>D10-Db15-PW10-PHI35-PRE4-S129-S208-20230315</t>
  </si>
  <si>
    <t>D10-Db15-PW10-PHI35-PRE6-S129-S208-20230315</t>
  </si>
  <si>
    <t>D10-Db15-PW125-PHI35-PRE2-S129-S208-20230315</t>
  </si>
  <si>
    <t>D10-Db15-PW75-PHI35-PRE2-S10-S208-20230315</t>
  </si>
  <si>
    <t>D10-Db15-PW10-PHI35-PRE4-S10-S208-20230315</t>
  </si>
  <si>
    <t>D10-Db15-PW10-PHI35-PRE6-S10-S208-20230315</t>
  </si>
  <si>
    <t>D10-Db15-PW125-PHI35-PRE2-S10-S208-20230315</t>
  </si>
  <si>
    <t>Lf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</si>
</sst>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4DFE2F-F259-184A-AC8C-AFD6D1B234F5}" name="Tableau24" displayName="Tableau24" ref="A1:B67" totalsRowShown="0" headerRowDxfId="2">
  <autoFilter ref="A1:B67" xr:uid="{F1D5B58E-086A-ED47-8C44-58BCDAC20209}"/>
  <tableColumns count="2">
    <tableColumn id="2" xr3:uid="{F8112831-05D5-0445-97F6-725FD7B7A064}" name="Name" dataDxfId="1"/>
    <tableColumn id="29" xr3:uid="{98D9B7FB-C971-2342-8196-188079664303}" name="Lf (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5956-63B6-2B46-86E8-6D1D736D26F6}">
  <dimension ref="A1:B67"/>
  <sheetViews>
    <sheetView tabSelected="1" zoomScale="87" workbookViewId="0">
      <selection activeCell="I6" sqref="I6"/>
    </sheetView>
  </sheetViews>
  <sheetFormatPr baseColWidth="10" defaultColWidth="8.77734375" defaultRowHeight="14.4" x14ac:dyDescent="0.3"/>
  <cols>
    <col min="1" max="1" width="49.44140625" customWidth="1"/>
    <col min="2" max="2" width="11.6640625" customWidth="1"/>
    <col min="3" max="3" width="10.44140625" bestFit="1" customWidth="1"/>
  </cols>
  <sheetData>
    <row r="1" spans="1:2" x14ac:dyDescent="0.3">
      <c r="A1" t="s">
        <v>0</v>
      </c>
      <c r="B1" s="1" t="s">
        <v>64</v>
      </c>
    </row>
    <row r="2" spans="1:2" x14ac:dyDescent="0.3">
      <c r="A2" t="s">
        <v>25</v>
      </c>
      <c r="B2">
        <v>4.6350321304399318E-2</v>
      </c>
    </row>
    <row r="3" spans="1:2" x14ac:dyDescent="0.3">
      <c r="A3" t="s">
        <v>23</v>
      </c>
      <c r="B3">
        <v>0.16503074789946928</v>
      </c>
    </row>
    <row r="4" spans="1:2" x14ac:dyDescent="0.3">
      <c r="A4" t="s">
        <v>56</v>
      </c>
      <c r="B4">
        <v>2.7675766498300593E-2</v>
      </c>
    </row>
    <row r="5" spans="1:2" x14ac:dyDescent="0.3">
      <c r="A5" t="s">
        <v>55</v>
      </c>
      <c r="B5">
        <v>5.7141961503965256E-2</v>
      </c>
    </row>
    <row r="6" spans="1:2" x14ac:dyDescent="0.3">
      <c r="A6" t="s">
        <v>22</v>
      </c>
      <c r="B6">
        <v>0.14455679263708721</v>
      </c>
    </row>
    <row r="7" spans="1:2" x14ac:dyDescent="0.3">
      <c r="A7" t="s">
        <v>21</v>
      </c>
      <c r="B7">
        <v>0.13299502966538909</v>
      </c>
    </row>
    <row r="8" spans="1:2" x14ac:dyDescent="0.3">
      <c r="A8" t="s">
        <v>26</v>
      </c>
      <c r="B8">
        <v>4.6196048736165486E-2</v>
      </c>
    </row>
    <row r="9" spans="1:2" x14ac:dyDescent="0.3">
      <c r="A9" t="s">
        <v>33</v>
      </c>
      <c r="B9">
        <v>8.0798313860420565E-2</v>
      </c>
    </row>
    <row r="10" spans="1:2" x14ac:dyDescent="0.3">
      <c r="A10" t="s">
        <v>32</v>
      </c>
      <c r="B10">
        <v>0.13758852592359178</v>
      </c>
    </row>
    <row r="11" spans="1:2" x14ac:dyDescent="0.3">
      <c r="A11" t="s">
        <v>31</v>
      </c>
      <c r="B11">
        <v>0.13938879201204965</v>
      </c>
    </row>
    <row r="12" spans="1:2" x14ac:dyDescent="0.3">
      <c r="A12" t="s">
        <v>20</v>
      </c>
      <c r="B12">
        <v>0.13294372869249815</v>
      </c>
    </row>
    <row r="13" spans="1:2" x14ac:dyDescent="0.3">
      <c r="A13" t="s">
        <v>63</v>
      </c>
      <c r="B13">
        <v>3.8320622285687306E-2</v>
      </c>
    </row>
    <row r="14" spans="1:2" x14ac:dyDescent="0.3">
      <c r="A14" t="s">
        <v>19</v>
      </c>
      <c r="B14">
        <v>0.14916963944810804</v>
      </c>
    </row>
    <row r="15" spans="1:2" x14ac:dyDescent="0.3">
      <c r="A15" t="s">
        <v>43</v>
      </c>
      <c r="B15">
        <f>26.6497231919182/1000</f>
        <v>2.6649723191918197E-2</v>
      </c>
    </row>
    <row r="16" spans="1:2" x14ac:dyDescent="0.3">
      <c r="A16" t="s">
        <v>24</v>
      </c>
      <c r="B16">
        <v>4.0796508847981361E-2</v>
      </c>
    </row>
    <row r="17" spans="1:2" x14ac:dyDescent="0.3">
      <c r="A17" t="s">
        <v>18</v>
      </c>
      <c r="B17">
        <v>0.18694992353331361</v>
      </c>
    </row>
    <row r="18" spans="1:2" x14ac:dyDescent="0.3">
      <c r="A18" t="s">
        <v>35</v>
      </c>
      <c r="B18">
        <v>0.12809621382081388</v>
      </c>
    </row>
    <row r="19" spans="1:2" x14ac:dyDescent="0.3">
      <c r="A19" t="s">
        <v>34</v>
      </c>
      <c r="B19">
        <v>8.096197441391674E-2</v>
      </c>
    </row>
    <row r="20" spans="1:2" x14ac:dyDescent="0.3">
      <c r="A20" t="s">
        <v>17</v>
      </c>
      <c r="B20">
        <v>0.18068730192364379</v>
      </c>
    </row>
    <row r="21" spans="1:2" x14ac:dyDescent="0.3">
      <c r="A21" t="s">
        <v>52</v>
      </c>
      <c r="B21">
        <v>8.9855185546340033E-2</v>
      </c>
    </row>
    <row r="22" spans="1:2" x14ac:dyDescent="0.3">
      <c r="A22" t="s">
        <v>16</v>
      </c>
      <c r="B22">
        <v>0.18454122291420982</v>
      </c>
    </row>
    <row r="23" spans="1:2" x14ac:dyDescent="0.3">
      <c r="A23" t="s">
        <v>16</v>
      </c>
      <c r="B23">
        <v>0.18454122291420982</v>
      </c>
    </row>
    <row r="24" spans="1:2" x14ac:dyDescent="0.3">
      <c r="A24" t="s">
        <v>54</v>
      </c>
      <c r="B24">
        <v>3.7086436107439572E-2</v>
      </c>
    </row>
    <row r="25" spans="1:2" x14ac:dyDescent="0.3">
      <c r="A25" t="s">
        <v>51</v>
      </c>
      <c r="B25">
        <v>9.5254725434524165E-2</v>
      </c>
    </row>
    <row r="26" spans="1:2" x14ac:dyDescent="0.3">
      <c r="A26" t="s">
        <v>53</v>
      </c>
      <c r="B26">
        <v>8.2758647407583749E-2</v>
      </c>
    </row>
    <row r="27" spans="1:2" x14ac:dyDescent="0.3">
      <c r="A27" t="s">
        <v>36</v>
      </c>
      <c r="B27">
        <v>0.13775218647708795</v>
      </c>
    </row>
    <row r="28" spans="1:2" x14ac:dyDescent="0.3">
      <c r="A28" t="s">
        <v>37</v>
      </c>
      <c r="B28">
        <v>0.13677022315611093</v>
      </c>
    </row>
    <row r="29" spans="1:2" x14ac:dyDescent="0.3">
      <c r="A29" t="s">
        <v>50</v>
      </c>
      <c r="B29">
        <v>9.4020544888653509E-2</v>
      </c>
    </row>
    <row r="30" spans="1:2" x14ac:dyDescent="0.3">
      <c r="A30" t="s">
        <v>60</v>
      </c>
      <c r="B30">
        <v>3.7086436107439572E-2</v>
      </c>
    </row>
    <row r="31" spans="1:2" x14ac:dyDescent="0.3">
      <c r="A31" t="s">
        <v>15</v>
      </c>
      <c r="B31">
        <v>0.18794213523327458</v>
      </c>
    </row>
    <row r="32" spans="1:2" x14ac:dyDescent="0.3">
      <c r="A32" t="s">
        <v>46</v>
      </c>
      <c r="B32">
        <f>18.3190045072912/1000</f>
        <v>1.8319004507291202E-2</v>
      </c>
    </row>
    <row r="33" spans="1:2" x14ac:dyDescent="0.3">
      <c r="A33" t="s">
        <v>45</v>
      </c>
      <c r="B33">
        <f>30.6608099659978/1000</f>
        <v>3.06608099659978E-2</v>
      </c>
    </row>
    <row r="34" spans="1:2" x14ac:dyDescent="0.3">
      <c r="A34" t="s">
        <v>44</v>
      </c>
      <c r="B34">
        <f>33.5919887624406/1000</f>
        <v>3.35919887624406E-2</v>
      </c>
    </row>
    <row r="35" spans="1:2" x14ac:dyDescent="0.3">
      <c r="A35" t="s">
        <v>14</v>
      </c>
      <c r="B35">
        <v>0.20405169792895039</v>
      </c>
    </row>
    <row r="36" spans="1:2" x14ac:dyDescent="0.3">
      <c r="A36" t="s">
        <v>59</v>
      </c>
      <c r="B36">
        <v>2.9835592310234128E-2</v>
      </c>
    </row>
    <row r="37" spans="1:2" x14ac:dyDescent="0.3">
      <c r="A37" t="s">
        <v>28</v>
      </c>
      <c r="B37">
        <v>4.0642236279747529E-2</v>
      </c>
    </row>
    <row r="38" spans="1:2" x14ac:dyDescent="0.3">
      <c r="A38" t="s">
        <v>27</v>
      </c>
      <c r="B38">
        <v>3.4162788413926566E-2</v>
      </c>
    </row>
    <row r="39" spans="1:2" x14ac:dyDescent="0.3">
      <c r="A39" t="s">
        <v>29</v>
      </c>
      <c r="B39">
        <v>5.4681039989026264E-2</v>
      </c>
    </row>
    <row r="40" spans="1:2" x14ac:dyDescent="0.3">
      <c r="A40" t="s">
        <v>30</v>
      </c>
      <c r="B40">
        <v>0.13875958967646487</v>
      </c>
    </row>
    <row r="41" spans="1:2" x14ac:dyDescent="0.3">
      <c r="A41" t="s">
        <v>13</v>
      </c>
      <c r="B41">
        <v>0.20569335123965832</v>
      </c>
    </row>
    <row r="42" spans="1:2" x14ac:dyDescent="0.3">
      <c r="A42" t="s">
        <v>41</v>
      </c>
      <c r="B42">
        <f>36.985985263585/1000</f>
        <v>3.6985985263585E-2</v>
      </c>
    </row>
    <row r="43" spans="1:2" x14ac:dyDescent="0.3">
      <c r="A43" t="s">
        <v>12</v>
      </c>
      <c r="B43">
        <v>0.21460544438425411</v>
      </c>
    </row>
    <row r="44" spans="1:2" x14ac:dyDescent="0.3">
      <c r="A44" t="s">
        <v>11</v>
      </c>
      <c r="B44">
        <v>0.2227949353819908</v>
      </c>
    </row>
    <row r="45" spans="1:2" x14ac:dyDescent="0.3">
      <c r="A45" t="s">
        <v>38</v>
      </c>
      <c r="B45">
        <f>29.4266294201272/1000</f>
        <v>2.94266294201272E-2</v>
      </c>
    </row>
    <row r="46" spans="1:2" x14ac:dyDescent="0.3">
      <c r="A46" t="s">
        <v>10</v>
      </c>
      <c r="B46">
        <v>0.23026182423286837</v>
      </c>
    </row>
    <row r="47" spans="1:2" x14ac:dyDescent="0.3">
      <c r="A47" t="s">
        <v>57</v>
      </c>
      <c r="B47">
        <v>2.6750126864614792E-2</v>
      </c>
    </row>
    <row r="48" spans="1:2" x14ac:dyDescent="0.3">
      <c r="A48" t="s">
        <v>61</v>
      </c>
      <c r="B48">
        <v>3.2458237939010565E-2</v>
      </c>
    </row>
    <row r="49" spans="1:2" x14ac:dyDescent="0.3">
      <c r="A49" t="s">
        <v>40</v>
      </c>
      <c r="B49">
        <f>57.0414191339832/1000</f>
        <v>5.7041419133983196E-2</v>
      </c>
    </row>
    <row r="50" spans="1:2" x14ac:dyDescent="0.3">
      <c r="A50" t="s">
        <v>39</v>
      </c>
      <c r="B50">
        <f>55.6529660198787/1000</f>
        <v>5.5652966019878694E-2</v>
      </c>
    </row>
    <row r="51" spans="1:2" x14ac:dyDescent="0.3">
      <c r="A51" t="s">
        <v>9</v>
      </c>
      <c r="B51">
        <v>0.23560567603920982</v>
      </c>
    </row>
    <row r="52" spans="1:2" x14ac:dyDescent="0.3">
      <c r="A52" t="s">
        <v>9</v>
      </c>
      <c r="B52">
        <v>0.23560567603920982</v>
      </c>
    </row>
    <row r="53" spans="1:2" x14ac:dyDescent="0.3">
      <c r="A53" t="s">
        <v>8</v>
      </c>
      <c r="B53">
        <v>0.15202376455630889</v>
      </c>
    </row>
    <row r="54" spans="1:2" x14ac:dyDescent="0.3">
      <c r="A54" t="s">
        <v>7</v>
      </c>
      <c r="B54">
        <v>0.15009680406102588</v>
      </c>
    </row>
    <row r="55" spans="1:2" x14ac:dyDescent="0.3">
      <c r="A55" t="s">
        <v>49</v>
      </c>
      <c r="B55">
        <f>18.7818222119927/1000</f>
        <v>1.8781822211992701E-2</v>
      </c>
    </row>
    <row r="56" spans="1:2" x14ac:dyDescent="0.3">
      <c r="A56" t="s">
        <v>6</v>
      </c>
      <c r="B56">
        <v>0.23319697542010603</v>
      </c>
    </row>
    <row r="57" spans="1:2" x14ac:dyDescent="0.3">
      <c r="A57" t="s">
        <v>5</v>
      </c>
      <c r="B57">
        <v>0.15635942567069569</v>
      </c>
    </row>
    <row r="58" spans="1:2" x14ac:dyDescent="0.3">
      <c r="A58" t="s">
        <v>58</v>
      </c>
      <c r="B58">
        <v>2.1196289062499988E-2</v>
      </c>
    </row>
    <row r="59" spans="1:2" x14ac:dyDescent="0.3">
      <c r="A59" t="s">
        <v>42</v>
      </c>
      <c r="B59">
        <f>40.5342543329631/1000</f>
        <v>4.05342543329631E-2</v>
      </c>
    </row>
    <row r="60" spans="1:2" x14ac:dyDescent="0.3">
      <c r="A60" s="1" t="s">
        <v>62</v>
      </c>
      <c r="B60">
        <v>3.3846697389539264E-2</v>
      </c>
    </row>
    <row r="61" spans="1:2" x14ac:dyDescent="0.3">
      <c r="A61" t="s">
        <v>47</v>
      </c>
      <c r="B61">
        <f>30.0437196930625/1000</f>
        <v>3.00437196930625E-2</v>
      </c>
    </row>
    <row r="62" spans="1:2" x14ac:dyDescent="0.3">
      <c r="A62" t="s">
        <v>48</v>
      </c>
      <c r="B62">
        <f>30.0437196930625/1000</f>
        <v>3.00437196930625E-2</v>
      </c>
    </row>
    <row r="63" spans="1:2" x14ac:dyDescent="0.3">
      <c r="A63" t="s">
        <v>4</v>
      </c>
      <c r="B63">
        <v>0.23560567603920982</v>
      </c>
    </row>
    <row r="64" spans="1:2" x14ac:dyDescent="0.3">
      <c r="A64" t="s">
        <v>1</v>
      </c>
      <c r="B64">
        <v>0.20790561891951642</v>
      </c>
    </row>
    <row r="65" spans="1:2" x14ac:dyDescent="0.3">
      <c r="A65" t="s">
        <v>1</v>
      </c>
      <c r="B65">
        <v>0.20790561891951642</v>
      </c>
    </row>
    <row r="66" spans="1:2" x14ac:dyDescent="0.3">
      <c r="A66" t="s">
        <v>2</v>
      </c>
      <c r="B66">
        <v>0.21103692972435134</v>
      </c>
    </row>
    <row r="67" spans="1:2" x14ac:dyDescent="0.3">
      <c r="A67" t="s">
        <v>3</v>
      </c>
      <c r="B67">
        <v>0.19441689545253529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11bfcb-c413-4381-9c6b-4ee4d46753d9" xsi:nil="true"/>
    <lcf76f155ced4ddcb4097134ff3c332f xmlns="3a509e1c-4fa9-4191-93ca-7ec9c9bd7c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0F84B4A8DEDF4B8F4089205AFB0650" ma:contentTypeVersion="11" ma:contentTypeDescription="Crée un document." ma:contentTypeScope="" ma:versionID="394f5d84d555387f50091d1fb546efbe">
  <xsd:schema xmlns:xsd="http://www.w3.org/2001/XMLSchema" xmlns:xs="http://www.w3.org/2001/XMLSchema" xmlns:p="http://schemas.microsoft.com/office/2006/metadata/properties" xmlns:ns2="3a509e1c-4fa9-4191-93ca-7ec9c9bd7c82" xmlns:ns3="ca11bfcb-c413-4381-9c6b-4ee4d46753d9" targetNamespace="http://schemas.microsoft.com/office/2006/metadata/properties" ma:root="true" ma:fieldsID="5ce97ffc8afb3ea205d5e43b59d54d84" ns2:_="" ns3:_="">
    <xsd:import namespace="3a509e1c-4fa9-4191-93ca-7ec9c9bd7c82"/>
    <xsd:import namespace="ca11bfcb-c413-4381-9c6b-4ee4d4675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09e1c-4fa9-4191-93ca-7ec9c9bd7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74adcb9-9639-454f-bd53-a051c6bc3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1bfcb-c413-4381-9c6b-4ee4d46753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e6c217-4a72-44f5-9bcb-ae42ebeb28d5}" ma:internalName="TaxCatchAll" ma:showField="CatchAllData" ma:web="ca11bfcb-c413-4381-9c6b-4ee4d4675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3AA32-5D21-440F-846F-2FBDC52777F5}">
  <ds:schemaRefs>
    <ds:schemaRef ds:uri="http://schemas.microsoft.com/office/2006/metadata/properties"/>
    <ds:schemaRef ds:uri="http://schemas.microsoft.com/office/infopath/2007/PartnerControls"/>
    <ds:schemaRef ds:uri="ca11bfcb-c413-4381-9c6b-4ee4d46753d9"/>
    <ds:schemaRef ds:uri="3a509e1c-4fa9-4191-93ca-7ec9c9bd7c82"/>
  </ds:schemaRefs>
</ds:datastoreItem>
</file>

<file path=customXml/itemProps2.xml><?xml version="1.0" encoding="utf-8"?>
<ds:datastoreItem xmlns:ds="http://schemas.openxmlformats.org/officeDocument/2006/customXml" ds:itemID="{A0741248-ED0D-4319-9F53-798876BFED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903472-21DD-48EE-B661-3B9A7B69B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509e1c-4fa9-4191-93ca-7ec9c9bd7c82"/>
    <ds:schemaRef ds:uri="ca11bfcb-c413-4381-9c6b-4ee4d4675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Creusy (Student at CentraleSupelec)</cp:lastModifiedBy>
  <dcterms:created xsi:type="dcterms:W3CDTF">2023-11-14T10:26:50Z</dcterms:created>
  <dcterms:modified xsi:type="dcterms:W3CDTF">2024-10-31T10:38:15Z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0x010100420F84B4A8DEDF4B8F4089205AFB0650</vt:lpwstr>
  </property>
</Properties>
</file>